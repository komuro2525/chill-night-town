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マイドライブ\2026年HICS\2.卒研\ガントチャート\"/>
    </mc:Choice>
  </mc:AlternateContent>
  <xr:revisionPtr revIDLastSave="0" documentId="13_ncr:1_{FF2BAEA8-F746-4303-B6F6-CA19804EEDAF}" xr6:coauthVersionLast="36" xr6:coauthVersionMax="36" xr10:uidLastSave="{00000000-0000-0000-0000-000000000000}"/>
  <bookViews>
    <workbookView xWindow="0" yWindow="0" windowWidth="20925" windowHeight="11625" activeTab="1" xr2:uid="{00000000-000D-0000-FFFF-FFFF00000000}"/>
  </bookViews>
  <sheets>
    <sheet name="(原本)2026年HICS卒研チーム_WBS" sheetId="1" r:id="rId1"/>
    <sheet name="(チーム更新シート)2026年HICS卒研チーム_WBS" sheetId="2" r:id="rId2"/>
  </sheets>
  <definedNames>
    <definedName name="_xlnm.Print_Area" localSheetId="1">'(チーム更新シート)2026年HICS卒研チーム_WBS'!$B$2:$O$96</definedName>
    <definedName name="_xlnm.Print_Area" localSheetId="0">'(原本)2026年HICS卒研チーム_WBS'!$B$2:$O$96</definedName>
    <definedName name="_xlnm.Print_Titles" localSheetId="1">'(チーム更新シート)2026年HICS卒研チーム_WBS'!$2:$2</definedName>
    <definedName name="_xlnm.Print_Titles" localSheetId="0">'(原本)2026年HICS卒研チーム_WBS'!$2:$2</definedName>
  </definedNames>
  <calcPr calcId="191029"/>
</workbook>
</file>

<file path=xl/calcChain.xml><?xml version="1.0" encoding="utf-8"?>
<calcChain xmlns="http://schemas.openxmlformats.org/spreadsheetml/2006/main">
  <c r="O95" i="2" l="1"/>
  <c r="O94" i="2"/>
  <c r="O93" i="2"/>
  <c r="O92" i="2"/>
  <c r="O91" i="2"/>
  <c r="O90" i="2"/>
  <c r="O89" i="2"/>
  <c r="O88" i="2"/>
  <c r="O87" i="2"/>
  <c r="O86" i="2"/>
  <c r="J85" i="2"/>
  <c r="O85" i="2" s="1"/>
  <c r="I85" i="2"/>
  <c r="H85" i="2"/>
  <c r="G85" i="2"/>
  <c r="O84" i="2"/>
  <c r="O83" i="2"/>
  <c r="O82" i="2"/>
  <c r="O81" i="2"/>
  <c r="O80" i="2"/>
  <c r="O79" i="2"/>
  <c r="O78" i="2"/>
  <c r="O77" i="2"/>
  <c r="O76" i="2"/>
  <c r="J75" i="2"/>
  <c r="O75" i="2" s="1"/>
  <c r="I75" i="2"/>
  <c r="H75" i="2"/>
  <c r="G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I60" i="2"/>
  <c r="H60" i="2"/>
  <c r="G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J27" i="2"/>
  <c r="O27" i="2" s="1"/>
  <c r="I27" i="2"/>
  <c r="H27" i="2"/>
  <c r="G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J7" i="2"/>
  <c r="O7" i="2" s="1"/>
  <c r="I7" i="2"/>
  <c r="H7" i="2"/>
  <c r="G7" i="2"/>
  <c r="O6" i="2"/>
  <c r="O5" i="2"/>
  <c r="O4" i="2"/>
  <c r="J3" i="2"/>
  <c r="O3" i="2" s="1"/>
  <c r="I3" i="2"/>
  <c r="H3" i="2"/>
  <c r="G3" i="2"/>
  <c r="J3" i="1"/>
  <c r="O55" i="1" l="1"/>
  <c r="O54" i="1"/>
  <c r="O53" i="1"/>
  <c r="O52" i="1"/>
  <c r="O81" i="1"/>
  <c r="O80" i="1"/>
  <c r="O79" i="1"/>
  <c r="O94" i="1"/>
  <c r="O93" i="1"/>
  <c r="O92" i="1"/>
  <c r="O91" i="1"/>
  <c r="O95" i="1"/>
  <c r="O90" i="1"/>
  <c r="O89" i="1"/>
  <c r="O88" i="1"/>
  <c r="O87" i="1"/>
  <c r="O86" i="1"/>
  <c r="J85" i="1"/>
  <c r="O85" i="1" s="1"/>
  <c r="I85" i="1"/>
  <c r="H85" i="1"/>
  <c r="G85" i="1"/>
  <c r="O73" i="1"/>
  <c r="O72" i="1"/>
  <c r="O71" i="1"/>
  <c r="O70" i="1"/>
  <c r="O69" i="1"/>
  <c r="O68" i="1"/>
  <c r="O48" i="1"/>
  <c r="O47" i="1"/>
  <c r="O46" i="1"/>
  <c r="O45" i="1"/>
  <c r="O44" i="1"/>
  <c r="O43" i="1"/>
  <c r="O42" i="1"/>
  <c r="O41" i="1"/>
  <c r="O40" i="1"/>
  <c r="O39" i="1"/>
  <c r="O57" i="1"/>
  <c r="O56" i="1"/>
  <c r="O51" i="1"/>
  <c r="O50" i="1"/>
  <c r="O49" i="1"/>
  <c r="O38" i="1"/>
  <c r="O37" i="1"/>
  <c r="I75" i="1"/>
  <c r="J75" i="1"/>
  <c r="J27" i="1"/>
  <c r="O27" i="1" s="1"/>
  <c r="J7" i="1"/>
  <c r="I60" i="1"/>
  <c r="I27" i="1"/>
  <c r="H75" i="1"/>
  <c r="G75" i="1"/>
  <c r="H60" i="1"/>
  <c r="G60" i="1"/>
  <c r="H27" i="1"/>
  <c r="G27" i="1"/>
  <c r="G7" i="1"/>
  <c r="G3" i="1"/>
  <c r="H7" i="1"/>
  <c r="H3" i="1"/>
  <c r="O78" i="1"/>
  <c r="O77" i="1"/>
  <c r="O76" i="1"/>
  <c r="O64" i="1"/>
  <c r="O63" i="1"/>
  <c r="O62" i="1"/>
  <c r="O17" i="1"/>
  <c r="O16" i="1"/>
  <c r="O15" i="1"/>
  <c r="O14" i="1"/>
  <c r="O13" i="1"/>
  <c r="O12" i="1"/>
  <c r="O11" i="1"/>
  <c r="O10" i="1"/>
  <c r="O33" i="1"/>
  <c r="O32" i="1"/>
  <c r="O31" i="1"/>
  <c r="O30" i="1"/>
  <c r="O35" i="1"/>
  <c r="O34" i="1"/>
  <c r="O29" i="1"/>
  <c r="O66" i="1"/>
  <c r="O65" i="1"/>
  <c r="O67" i="1"/>
  <c r="O21" i="1"/>
  <c r="O20" i="1"/>
  <c r="O19" i="1"/>
  <c r="O18" i="1"/>
  <c r="O25" i="1"/>
  <c r="O24" i="1"/>
  <c r="O22" i="1"/>
  <c r="O59" i="1"/>
  <c r="O83" i="1"/>
  <c r="O84" i="1"/>
  <c r="O82" i="1"/>
  <c r="O74" i="1"/>
  <c r="O61" i="1"/>
  <c r="I7" i="1"/>
  <c r="O23" i="1"/>
  <c r="O75" i="1"/>
  <c r="O58" i="1"/>
  <c r="O36" i="1"/>
  <c r="O28" i="1"/>
  <c r="O26" i="1"/>
  <c r="O9" i="1"/>
  <c r="O8" i="1"/>
  <c r="O6" i="1"/>
  <c r="O5" i="1"/>
  <c r="O4" i="1"/>
  <c r="O3" i="1"/>
  <c r="I3" i="1"/>
  <c r="O7" i="1" l="1"/>
  <c r="O60" i="2" l="1"/>
  <c r="J60" i="2"/>
  <c r="O60" i="1"/>
  <c r="J60" i="1"/>
</calcChain>
</file>

<file path=xl/sharedStrings.xml><?xml version="1.0" encoding="utf-8"?>
<sst xmlns="http://schemas.openxmlformats.org/spreadsheetml/2006/main" count="340" uniqueCount="121">
  <si>
    <t>WBS ID</t>
  </si>
  <si>
    <t>大工程 (Phase)</t>
  </si>
  <si>
    <t>中工程 (機能/モジュール)</t>
  </si>
  <si>
    <t>小工程 (タスク詳細)</t>
  </si>
  <si>
    <t>担当者</t>
  </si>
  <si>
    <t>予定開始日</t>
  </si>
  <si>
    <t>予定終了日</t>
  </si>
  <si>
    <t>予定工数(h)</t>
  </si>
  <si>
    <t>進捗率</t>
  </si>
  <si>
    <t>実績開始日</t>
  </si>
  <si>
    <t>実績終了日</t>
  </si>
  <si>
    <t>先行タスク</t>
  </si>
  <si>
    <t>成果物</t>
  </si>
  <si>
    <t>状態</t>
  </si>
  <si>
    <t>1.0</t>
  </si>
  <si>
    <t>要件定義</t>
  </si>
  <si>
    <t>2026/09/01</t>
  </si>
  <si>
    <t>1.1</t>
  </si>
  <si>
    <t>ヒアリング・分析</t>
  </si>
  <si>
    <t>現行システム課題抽出</t>
  </si>
  <si>
    <t>2026/09/10</t>
  </si>
  <si>
    <t>1.2</t>
  </si>
  <si>
    <t>要件定義書作成</t>
  </si>
  <si>
    <t>認証・API要件の策定</t>
  </si>
  <si>
    <t>2026/09/11</t>
  </si>
  <si>
    <t>2026/09/25</t>
  </si>
  <si>
    <t>要件定義書</t>
  </si>
  <si>
    <t>1.3</t>
  </si>
  <si>
    <t>クライアントレビュー</t>
  </si>
  <si>
    <t>要件定義書レビュー・承認</t>
  </si>
  <si>
    <t>2026/09/26</t>
  </si>
  <si>
    <t>2.0</t>
  </si>
  <si>
    <t>基本・詳細設計</t>
  </si>
  <si>
    <t>2.1</t>
  </si>
  <si>
    <t>DB設計</t>
  </si>
  <si>
    <t>概念/論理DB設計・DDL作成</t>
  </si>
  <si>
    <t>DDLスクリプト</t>
  </si>
  <si>
    <t>2.2</t>
  </si>
  <si>
    <t>2.3</t>
  </si>
  <si>
    <t>次月WBS</t>
  </si>
  <si>
    <t>3.0</t>
  </si>
  <si>
    <t>3.1</t>
  </si>
  <si>
    <t>基盤構築</t>
  </si>
  <si>
    <t>インフラ・DB環境構築</t>
  </si>
  <si>
    <t>テスト環境</t>
  </si>
  <si>
    <t>3.2</t>
  </si>
  <si>
    <t>ソースコード</t>
  </si>
  <si>
    <t>3.3</t>
  </si>
  <si>
    <t>4.0</t>
  </si>
  <si>
    <t>テスト報告書</t>
  </si>
  <si>
    <t>5.0</t>
  </si>
  <si>
    <t>リリース手順書</t>
  </si>
  <si>
    <t>データ移行</t>
    <phoneticPr fontId="1"/>
  </si>
  <si>
    <t>外部連携</t>
    <phoneticPr fontId="1"/>
  </si>
  <si>
    <t>本番開発環境構築</t>
    <rPh sb="0" eb="2">
      <t>ホンバン</t>
    </rPh>
    <rPh sb="2" eb="4">
      <t>カイハツ</t>
    </rPh>
    <phoneticPr fontId="1"/>
  </si>
  <si>
    <t>WBSリファインメント</t>
    <phoneticPr fontId="1"/>
  </si>
  <si>
    <t>[プロダクト名] 実装</t>
    <rPh sb="6" eb="7">
      <t>メイ</t>
    </rPh>
    <phoneticPr fontId="1"/>
  </si>
  <si>
    <t>10月～来年1月作業細分化</t>
    <rPh sb="4" eb="6">
      <t>ライネン</t>
    </rPh>
    <rPh sb="7" eb="8">
      <t>ツキ</t>
    </rPh>
    <rPh sb="8" eb="10">
      <t>サギョウ</t>
    </rPh>
    <phoneticPr fontId="1"/>
  </si>
  <si>
    <t>DDLスクリプト</t>
    <phoneticPr fontId="1"/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</si>
  <si>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</si>
  <si>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</si>
  <si>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</si>
  <si>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</si>
  <si>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</si>
  <si>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</si>
  <si>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</si>
  <si>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</si>
  <si>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</si>
  <si>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</si>
  <si>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</si>
  <si>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</si>
  <si>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</si>
  <si>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</si>
  <si>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</si>
  <si>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</si>
  <si>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3.4</t>
  </si>
  <si>
    <t>3.5</t>
  </si>
  <si>
    <t>3.6</t>
  </si>
  <si>
    <t>3.7</t>
  </si>
  <si>
    <t>3.8</t>
  </si>
  <si>
    <t>3.9</t>
  </si>
  <si>
    <t>3.10</t>
  </si>
  <si>
    <t>3.11</t>
  </si>
  <si>
    <t>チーム構成員全員</t>
    <rPh sb="3" eb="6">
      <t>コウセイイン</t>
    </rPh>
    <rPh sb="6" eb="8">
      <t>ゼンイン</t>
    </rPh>
    <phoneticPr fontId="1"/>
  </si>
  <si>
    <t>校内ローカル開発環境構築</t>
    <rPh sb="0" eb="2">
      <t>コウナイ</t>
    </rPh>
    <rPh sb="6" eb="8">
      <t>カイハツ</t>
    </rPh>
    <phoneticPr fontId="1"/>
  </si>
  <si>
    <t>中間発表準備</t>
    <rPh sb="0" eb="4">
      <t>チュウカンハッピョウ</t>
    </rPh>
    <rPh sb="4" eb="6">
      <t>ジュンビ</t>
    </rPh>
    <phoneticPr fontId="1"/>
  </si>
  <si>
    <t>内部発表準備</t>
    <rPh sb="0" eb="2">
      <t>ナイブ</t>
    </rPh>
    <rPh sb="2" eb="4">
      <t>ハッピョウ</t>
    </rPh>
    <rPh sb="4" eb="6">
      <t>ジュンビ</t>
    </rPh>
    <phoneticPr fontId="1"/>
  </si>
  <si>
    <t>認証モジュールA</t>
    <phoneticPr fontId="1"/>
  </si>
  <si>
    <t>[プロダクト名] 単体試験</t>
    <rPh sb="6" eb="7">
      <t>メイ</t>
    </rPh>
    <rPh sb="9" eb="13">
      <t>タンタイシケン</t>
    </rPh>
    <phoneticPr fontId="1"/>
  </si>
  <si>
    <t>実装・単体試験</t>
    <rPh sb="5" eb="7">
      <t>シケン</t>
    </rPh>
    <phoneticPr fontId="1"/>
  </si>
  <si>
    <t>結合・統合試験</t>
    <rPh sb="5" eb="7">
      <t>シケン</t>
    </rPh>
    <phoneticPr fontId="1"/>
  </si>
  <si>
    <t>本番環境移行・配置</t>
    <rPh sb="2" eb="4">
      <t>カンキョウ</t>
    </rPh>
    <rPh sb="7" eb="9">
      <t>ハイチ</t>
    </rPh>
    <phoneticPr fontId="1"/>
  </si>
  <si>
    <t>認証モジュールB</t>
    <phoneticPr fontId="1"/>
  </si>
  <si>
    <t>認証モジュールC</t>
    <phoneticPr fontId="1"/>
  </si>
  <si>
    <t>認証モジュールD</t>
    <phoneticPr fontId="1"/>
  </si>
  <si>
    <t>認証モジュールE</t>
    <phoneticPr fontId="1"/>
  </si>
  <si>
    <t>3.12</t>
  </si>
  <si>
    <t>3.13</t>
  </si>
  <si>
    <t>3.14</t>
  </si>
  <si>
    <t>3.15</t>
  </si>
  <si>
    <t>3.16</t>
  </si>
  <si>
    <t>3.17</t>
  </si>
  <si>
    <t>3.18</t>
  </si>
  <si>
    <t>3.19</t>
  </si>
  <si>
    <t>Androd</t>
    <phoneticPr fontId="1"/>
  </si>
  <si>
    <t>iOS</t>
    <phoneticPr fontId="1"/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</si>
  <si>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</si>
  <si>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</si>
  <si>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</si>
  <si>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</si>
  <si>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</si>
  <si>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</si>
  <si>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</si>
  <si>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</si>
  <si>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</si>
  <si>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</si>
  <si>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納品</t>
    <rPh sb="0" eb="2">
      <t>ノウヒン</t>
    </rPh>
    <phoneticPr fontId="1"/>
  </si>
  <si>
    <t>別途連絡</t>
    <rPh sb="0" eb="2">
      <t>ベット</t>
    </rPh>
    <rPh sb="2" eb="4">
      <t>レンラク</t>
    </rPh>
    <phoneticPr fontId="1"/>
  </si>
  <si>
    <t>3.30</t>
  </si>
  <si>
    <t>3.31</t>
  </si>
  <si>
    <t>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</si>
</sst>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0"/>
      <color rgb="FFFFFFFF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0"/>
      <color rgb="FF1F497D"/>
      <name val="BIZ UDPゴシック"/>
      <family val="3"/>
      <charset val="128"/>
    </font>
    <font>
      <sz val="9"/>
      <color rgb="FF000000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rgb="FF1F497D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/>
      <bottom style="medium">
        <color rgb="FF1F497D"/>
      </bottom>
      <diagonal/>
    </border>
    <border>
      <left style="thin">
        <color rgb="FFD9D9D9"/>
      </left>
      <right style="medium">
        <color indexed="64"/>
      </right>
      <top/>
      <bottom style="medium">
        <color rgb="FF1F497D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9" fontId="4" fillId="3" borderId="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right" vertical="center"/>
    </xf>
    <xf numFmtId="9" fontId="5" fillId="0" borderId="12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177" fontId="4" fillId="3" borderId="14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 wrapText="1"/>
    </xf>
    <xf numFmtId="14" fontId="4" fillId="3" borderId="15" xfId="0" applyNumberFormat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right" vertical="center"/>
    </xf>
    <xf numFmtId="9" fontId="4" fillId="3" borderId="15" xfId="0" applyNumberFormat="1" applyFont="1" applyFill="1" applyBorder="1" applyAlignment="1">
      <alignment horizontal="right" vertical="center"/>
    </xf>
    <xf numFmtId="177" fontId="4" fillId="3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/>
    </xf>
    <xf numFmtId="9" fontId="5" fillId="0" borderId="3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5"/>
  <sheetViews>
    <sheetView view="pageBreakPreview" zoomScale="55" zoomScaleNormal="100" zoomScaleSheetLayoutView="55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3.625" style="1" customWidth="1"/>
    <col min="2" max="2" width="10" style="1" customWidth="1"/>
    <col min="3" max="3" width="18" style="1" customWidth="1"/>
    <col min="4" max="4" width="22" style="1" customWidth="1"/>
    <col min="5" max="5" width="30" style="1" customWidth="1"/>
    <col min="6" max="6" width="12" style="1" customWidth="1"/>
    <col min="7" max="8" width="14" style="1" customWidth="1"/>
    <col min="9" max="10" width="12" style="1" customWidth="1"/>
    <col min="11" max="12" width="14" style="1" customWidth="1"/>
    <col min="13" max="13" width="12" style="1" customWidth="1"/>
    <col min="14" max="14" width="18" style="1" customWidth="1"/>
    <col min="15" max="15" width="12" style="1" customWidth="1"/>
    <col min="16" max="16384" width="9" style="1"/>
  </cols>
  <sheetData>
    <row r="1" spans="2:15" ht="14.25" thickBot="1" x14ac:dyDescent="0.2"/>
    <row r="2" spans="2:15" ht="27.95" customHeight="1" x14ac:dyDescent="0.15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6" t="s">
        <v>13</v>
      </c>
    </row>
    <row r="3" spans="2:15" ht="24" customHeight="1" thickBot="1" x14ac:dyDescent="0.2">
      <c r="B3" s="17" t="s">
        <v>14</v>
      </c>
      <c r="C3" s="3" t="s">
        <v>15</v>
      </c>
      <c r="D3" s="3"/>
      <c r="E3" s="3"/>
      <c r="F3" s="2"/>
      <c r="G3" s="4">
        <f>MIN(G4:G6)</f>
        <v>46176</v>
      </c>
      <c r="H3" s="12">
        <f>MAX(H4:H6)</f>
        <v>46211</v>
      </c>
      <c r="I3" s="5">
        <f>SUM(I4:I6)</f>
        <v>0</v>
      </c>
      <c r="J3" s="6">
        <f>AVERAGE(J4:J6)</f>
        <v>0.80000000000000016</v>
      </c>
      <c r="K3" s="4"/>
      <c r="L3" s="4"/>
      <c r="M3" s="2"/>
      <c r="N3" s="3"/>
      <c r="O3" s="18" t="str">
        <f t="shared" ref="O3:O84" ca="1" si="0">IF(J3=1, "完了", IF(ISBLANK(K3), "未着手", IF(AND(H3&lt;TODAY(), J3&lt;1), "遅延", "進行中")))</f>
        <v>未着手</v>
      </c>
    </row>
    <row r="4" spans="2:15" ht="21.95" customHeight="1" x14ac:dyDescent="0.15">
      <c r="B4" s="19" t="s">
        <v>17</v>
      </c>
      <c r="C4" s="8"/>
      <c r="D4" s="8" t="s">
        <v>18</v>
      </c>
      <c r="E4" s="8" t="s">
        <v>19</v>
      </c>
      <c r="F4" s="7"/>
      <c r="G4" s="9">
        <v>46176</v>
      </c>
      <c r="H4" s="9">
        <v>46204</v>
      </c>
      <c r="I4" s="10"/>
      <c r="J4" s="11">
        <v>0.8</v>
      </c>
      <c r="K4" s="9" t="s">
        <v>16</v>
      </c>
      <c r="L4" s="9" t="s">
        <v>20</v>
      </c>
      <c r="M4" s="7"/>
      <c r="N4" s="8"/>
      <c r="O4" s="20" t="str">
        <f t="shared" ca="1" si="0"/>
        <v>遅延</v>
      </c>
    </row>
    <row r="5" spans="2:15" ht="21.95" customHeight="1" x14ac:dyDescent="0.15">
      <c r="B5" s="19" t="s">
        <v>21</v>
      </c>
      <c r="C5" s="8"/>
      <c r="D5" s="8" t="s">
        <v>22</v>
      </c>
      <c r="E5" s="8" t="s">
        <v>23</v>
      </c>
      <c r="F5" s="7"/>
      <c r="G5" s="9">
        <v>46183</v>
      </c>
      <c r="H5" s="9">
        <v>46211</v>
      </c>
      <c r="I5" s="10"/>
      <c r="J5" s="11">
        <v>0.8</v>
      </c>
      <c r="K5" s="9" t="s">
        <v>24</v>
      </c>
      <c r="L5" s="9" t="s">
        <v>25</v>
      </c>
      <c r="M5" s="7" t="s">
        <v>17</v>
      </c>
      <c r="N5" s="8" t="s">
        <v>26</v>
      </c>
      <c r="O5" s="20" t="str">
        <f t="shared" ca="1" si="0"/>
        <v>遅延</v>
      </c>
    </row>
    <row r="6" spans="2:15" ht="21.95" customHeight="1" x14ac:dyDescent="0.15">
      <c r="B6" s="19" t="s">
        <v>27</v>
      </c>
      <c r="C6" s="8"/>
      <c r="D6" s="8" t="s">
        <v>28</v>
      </c>
      <c r="E6" s="8" t="s">
        <v>29</v>
      </c>
      <c r="F6" s="7"/>
      <c r="G6" s="9"/>
      <c r="H6" s="9"/>
      <c r="I6" s="10"/>
      <c r="J6" s="11">
        <v>0.8</v>
      </c>
      <c r="K6" s="9" t="s">
        <v>30</v>
      </c>
      <c r="L6" s="9">
        <v>46327</v>
      </c>
      <c r="M6" s="7" t="s">
        <v>21</v>
      </c>
      <c r="N6" s="8"/>
      <c r="O6" s="20" t="str">
        <f t="shared" ca="1" si="0"/>
        <v>遅延</v>
      </c>
    </row>
    <row r="7" spans="2:15" ht="24" customHeight="1" thickBot="1" x14ac:dyDescent="0.2">
      <c r="B7" s="17" t="s">
        <v>31</v>
      </c>
      <c r="C7" s="3" t="s">
        <v>32</v>
      </c>
      <c r="D7" s="3"/>
      <c r="E7" s="3"/>
      <c r="F7" s="2"/>
      <c r="G7" s="4">
        <f>MIN(G8:G26)</f>
        <v>46267</v>
      </c>
      <c r="H7" s="12">
        <f>MAX(H8:H26)</f>
        <v>46285</v>
      </c>
      <c r="I7" s="5">
        <f>SUM(I8:I26)</f>
        <v>0</v>
      </c>
      <c r="J7" s="6">
        <f>AVERAGE(J8:J26)</f>
        <v>0</v>
      </c>
      <c r="K7" s="4"/>
      <c r="L7" s="4"/>
      <c r="M7" s="2"/>
      <c r="N7" s="3"/>
      <c r="O7" s="18" t="str">
        <f t="shared" ca="1" si="0"/>
        <v>未着手</v>
      </c>
    </row>
    <row r="8" spans="2:15" ht="21.95" customHeight="1" x14ac:dyDescent="0.15">
      <c r="B8" s="19" t="s">
        <v>33</v>
      </c>
      <c r="C8" s="8"/>
      <c r="D8" s="8" t="s">
        <v>84</v>
      </c>
      <c r="E8" s="8" t="s">
        <v>83</v>
      </c>
      <c r="F8" s="7"/>
      <c r="G8" s="9">
        <v>46267</v>
      </c>
      <c r="H8" s="9">
        <v>46283</v>
      </c>
      <c r="I8" s="10"/>
      <c r="J8" s="11">
        <v>0</v>
      </c>
      <c r="K8" s="9"/>
      <c r="L8" s="9"/>
      <c r="M8" s="7" t="s">
        <v>27</v>
      </c>
      <c r="N8" s="8"/>
      <c r="O8" s="20" t="str">
        <f t="shared" ca="1" si="0"/>
        <v>未着手</v>
      </c>
    </row>
    <row r="9" spans="2:15" ht="21.95" customHeight="1" x14ac:dyDescent="0.15">
      <c r="B9" s="19" t="s">
        <v>37</v>
      </c>
      <c r="C9" s="8"/>
      <c r="D9" s="8" t="s">
        <v>34</v>
      </c>
      <c r="E9" s="8" t="s">
        <v>35</v>
      </c>
      <c r="F9" s="7"/>
      <c r="G9" s="9">
        <v>46267</v>
      </c>
      <c r="H9" s="9">
        <v>46285</v>
      </c>
      <c r="I9" s="10"/>
      <c r="J9" s="11">
        <v>0</v>
      </c>
      <c r="K9" s="9"/>
      <c r="L9" s="9"/>
      <c r="M9" s="7" t="s">
        <v>33</v>
      </c>
      <c r="N9" s="8" t="s">
        <v>58</v>
      </c>
      <c r="O9" s="20" t="str">
        <f t="shared" ca="1" si="0"/>
        <v>未着手</v>
      </c>
    </row>
    <row r="10" spans="2:15" ht="21.95" customHeight="1" x14ac:dyDescent="0.15">
      <c r="B10" s="19" t="s">
        <v>38</v>
      </c>
      <c r="C10" s="8"/>
      <c r="D10" s="8"/>
      <c r="E10" s="8"/>
      <c r="F10" s="7"/>
      <c r="G10" s="9"/>
      <c r="H10" s="9"/>
      <c r="I10" s="10"/>
      <c r="J10" s="11">
        <v>0</v>
      </c>
      <c r="K10" s="9"/>
      <c r="L10" s="9"/>
      <c r="M10" s="7"/>
      <c r="N10" s="8"/>
      <c r="O10" s="20" t="str">
        <f t="shared" ca="1" si="0"/>
        <v>未着手</v>
      </c>
    </row>
    <row r="11" spans="2:15" ht="21.95" customHeight="1" x14ac:dyDescent="0.15">
      <c r="B11" s="19" t="s">
        <v>59</v>
      </c>
      <c r="C11" s="8"/>
      <c r="D11" s="8"/>
      <c r="E11" s="8"/>
      <c r="F11" s="7"/>
      <c r="G11" s="9"/>
      <c r="H11" s="9"/>
      <c r="I11" s="10"/>
      <c r="J11" s="11">
        <v>0</v>
      </c>
      <c r="K11" s="9"/>
      <c r="L11" s="9"/>
      <c r="M11" s="7"/>
      <c r="N11" s="8"/>
      <c r="O11" s="20" t="str">
        <f t="shared" ca="1" si="0"/>
        <v>未着手</v>
      </c>
    </row>
    <row r="12" spans="2:15" ht="21.95" customHeight="1" x14ac:dyDescent="0.15">
      <c r="B12" s="19" t="s">
        <v>60</v>
      </c>
      <c r="C12" s="8"/>
      <c r="D12" s="8"/>
      <c r="E12" s="8"/>
      <c r="F12" s="7"/>
      <c r="G12" s="9"/>
      <c r="H12" s="9"/>
      <c r="I12" s="10"/>
      <c r="J12" s="11">
        <v>0</v>
      </c>
      <c r="K12" s="9"/>
      <c r="L12" s="9"/>
      <c r="M12" s="7"/>
      <c r="N12" s="8"/>
      <c r="O12" s="20" t="str">
        <f t="shared" ca="1" si="0"/>
        <v>未着手</v>
      </c>
    </row>
    <row r="13" spans="2:15" ht="21.95" customHeight="1" x14ac:dyDescent="0.15">
      <c r="B13" s="19" t="s">
        <v>61</v>
      </c>
      <c r="C13" s="8"/>
      <c r="D13" s="8"/>
      <c r="E13" s="8"/>
      <c r="F13" s="7"/>
      <c r="G13" s="9"/>
      <c r="H13" s="9"/>
      <c r="I13" s="10"/>
      <c r="J13" s="11">
        <v>0</v>
      </c>
      <c r="K13" s="9"/>
      <c r="L13" s="9"/>
      <c r="M13" s="7"/>
      <c r="N13" s="8"/>
      <c r="O13" s="20" t="str">
        <f t="shared" ca="1" si="0"/>
        <v>未着手</v>
      </c>
    </row>
    <row r="14" spans="2:15" ht="21.95" customHeight="1" x14ac:dyDescent="0.15">
      <c r="B14" s="19" t="s">
        <v>62</v>
      </c>
      <c r="C14" s="8"/>
      <c r="D14" s="8"/>
      <c r="E14" s="8"/>
      <c r="F14" s="7"/>
      <c r="G14" s="9"/>
      <c r="H14" s="9"/>
      <c r="I14" s="10"/>
      <c r="J14" s="11">
        <v>0</v>
      </c>
      <c r="K14" s="9"/>
      <c r="L14" s="9"/>
      <c r="M14" s="7"/>
      <c r="N14" s="8"/>
      <c r="O14" s="20" t="str">
        <f t="shared" ref="O14:O17" ca="1" si="1">IF(J14=1, "完了", IF(ISBLANK(K14), "未着手", IF(AND(H14&lt;TODAY(), J14&lt;1), "遅延", "進行中")))</f>
        <v>未着手</v>
      </c>
    </row>
    <row r="15" spans="2:15" ht="21.95" customHeight="1" x14ac:dyDescent="0.15">
      <c r="B15" s="19" t="s">
        <v>63</v>
      </c>
      <c r="C15" s="8"/>
      <c r="D15" s="8"/>
      <c r="E15" s="8"/>
      <c r="F15" s="7"/>
      <c r="G15" s="9"/>
      <c r="H15" s="9"/>
      <c r="I15" s="10"/>
      <c r="J15" s="11">
        <v>0</v>
      </c>
      <c r="K15" s="9"/>
      <c r="L15" s="9"/>
      <c r="M15" s="7"/>
      <c r="N15" s="8"/>
      <c r="O15" s="20" t="str">
        <f t="shared" ca="1" si="1"/>
        <v>未着手</v>
      </c>
    </row>
    <row r="16" spans="2:15" ht="21.95" customHeight="1" x14ac:dyDescent="0.15">
      <c r="B16" s="19" t="s">
        <v>64</v>
      </c>
      <c r="C16" s="8"/>
      <c r="D16" s="8"/>
      <c r="E16" s="8"/>
      <c r="F16" s="7"/>
      <c r="G16" s="9"/>
      <c r="H16" s="9"/>
      <c r="I16" s="10"/>
      <c r="J16" s="11">
        <v>0</v>
      </c>
      <c r="K16" s="9"/>
      <c r="L16" s="9"/>
      <c r="M16" s="7"/>
      <c r="N16" s="8"/>
      <c r="O16" s="20" t="str">
        <f t="shared" ca="1" si="1"/>
        <v>未着手</v>
      </c>
    </row>
    <row r="17" spans="2:15" ht="21.95" customHeight="1" x14ac:dyDescent="0.15">
      <c r="B17" s="19" t="s">
        <v>65</v>
      </c>
      <c r="C17" s="8"/>
      <c r="D17" s="8"/>
      <c r="E17" s="8"/>
      <c r="F17" s="7"/>
      <c r="G17" s="9"/>
      <c r="H17" s="9"/>
      <c r="I17" s="10"/>
      <c r="J17" s="11">
        <v>0</v>
      </c>
      <c r="K17" s="9"/>
      <c r="L17" s="9"/>
      <c r="M17" s="7"/>
      <c r="N17" s="8"/>
      <c r="O17" s="20" t="str">
        <f t="shared" ca="1" si="1"/>
        <v>未着手</v>
      </c>
    </row>
    <row r="18" spans="2:15" ht="21.95" customHeight="1" x14ac:dyDescent="0.15">
      <c r="B18" s="19" t="s">
        <v>66</v>
      </c>
      <c r="C18" s="8"/>
      <c r="D18" s="8"/>
      <c r="E18" s="8"/>
      <c r="F18" s="7"/>
      <c r="G18" s="9"/>
      <c r="H18" s="9"/>
      <c r="I18" s="10"/>
      <c r="J18" s="11">
        <v>0</v>
      </c>
      <c r="K18" s="9"/>
      <c r="L18" s="9"/>
      <c r="M18" s="7"/>
      <c r="N18" s="8"/>
      <c r="O18" s="20" t="str">
        <f t="shared" ref="O18:O21" ca="1" si="2">IF(J18=1, "完了", IF(ISBLANK(K18), "未着手", IF(AND(H18&lt;TODAY(), J18&lt;1), "遅延", "進行中")))</f>
        <v>未着手</v>
      </c>
    </row>
    <row r="19" spans="2:15" ht="21.95" customHeight="1" x14ac:dyDescent="0.15">
      <c r="B19" s="19" t="s">
        <v>67</v>
      </c>
      <c r="C19" s="8"/>
      <c r="D19" s="8"/>
      <c r="E19" s="8"/>
      <c r="F19" s="7"/>
      <c r="G19" s="9"/>
      <c r="H19" s="9"/>
      <c r="I19" s="10"/>
      <c r="J19" s="11">
        <v>0</v>
      </c>
      <c r="K19" s="9"/>
      <c r="L19" s="9"/>
      <c r="M19" s="7"/>
      <c r="N19" s="8"/>
      <c r="O19" s="20" t="str">
        <f t="shared" ca="1" si="2"/>
        <v>未着手</v>
      </c>
    </row>
    <row r="20" spans="2:15" ht="21.95" customHeight="1" x14ac:dyDescent="0.15">
      <c r="B20" s="19" t="s">
        <v>68</v>
      </c>
      <c r="C20" s="8"/>
      <c r="D20" s="8"/>
      <c r="E20" s="8"/>
      <c r="F20" s="7"/>
      <c r="G20" s="9"/>
      <c r="H20" s="9"/>
      <c r="I20" s="10"/>
      <c r="J20" s="11">
        <v>0</v>
      </c>
      <c r="K20" s="9"/>
      <c r="L20" s="9"/>
      <c r="M20" s="7"/>
      <c r="N20" s="8"/>
      <c r="O20" s="20" t="str">
        <f t="shared" ca="1" si="2"/>
        <v>未着手</v>
      </c>
    </row>
    <row r="21" spans="2:15" ht="21.95" customHeight="1" x14ac:dyDescent="0.15">
      <c r="B21" s="19" t="s">
        <v>69</v>
      </c>
      <c r="C21" s="8"/>
      <c r="D21" s="8"/>
      <c r="E21" s="8"/>
      <c r="F21" s="7"/>
      <c r="G21" s="9"/>
      <c r="H21" s="9"/>
      <c r="I21" s="10"/>
      <c r="J21" s="11">
        <v>0</v>
      </c>
      <c r="K21" s="9"/>
      <c r="L21" s="9"/>
      <c r="M21" s="7"/>
      <c r="N21" s="8"/>
      <c r="O21" s="20" t="str">
        <f t="shared" ca="1" si="2"/>
        <v>未着手</v>
      </c>
    </row>
    <row r="22" spans="2:15" ht="21.95" customHeight="1" x14ac:dyDescent="0.15">
      <c r="B22" s="19" t="s">
        <v>70</v>
      </c>
      <c r="C22" s="8"/>
      <c r="D22" s="8"/>
      <c r="E22" s="8"/>
      <c r="F22" s="7"/>
      <c r="G22" s="9"/>
      <c r="H22" s="9"/>
      <c r="I22" s="10"/>
      <c r="J22" s="11">
        <v>0</v>
      </c>
      <c r="K22" s="9"/>
      <c r="L22" s="9"/>
      <c r="M22" s="7"/>
      <c r="N22" s="8"/>
      <c r="O22" s="20" t="str">
        <f t="shared" ca="1" si="0"/>
        <v>未着手</v>
      </c>
    </row>
    <row r="23" spans="2:15" ht="21.95" customHeight="1" x14ac:dyDescent="0.15">
      <c r="B23" s="19" t="s">
        <v>71</v>
      </c>
      <c r="C23" s="8"/>
      <c r="D23" s="8"/>
      <c r="E23" s="8"/>
      <c r="F23" s="7"/>
      <c r="G23" s="9"/>
      <c r="H23" s="9"/>
      <c r="I23" s="10"/>
      <c r="J23" s="11">
        <v>0</v>
      </c>
      <c r="K23" s="9"/>
      <c r="L23" s="9"/>
      <c r="M23" s="7"/>
      <c r="N23" s="8"/>
      <c r="O23" s="20" t="str">
        <f t="shared" ref="O23:O24" ca="1" si="3">IF(J23=1, "完了", IF(ISBLANK(K23), "未着手", IF(AND(H23&lt;TODAY(), J23&lt;1), "遅延", "進行中")))</f>
        <v>未着手</v>
      </c>
    </row>
    <row r="24" spans="2:15" ht="21.95" customHeight="1" x14ac:dyDescent="0.15">
      <c r="B24" s="19" t="s">
        <v>72</v>
      </c>
      <c r="C24" s="8"/>
      <c r="D24" s="8"/>
      <c r="E24" s="8"/>
      <c r="F24" s="7"/>
      <c r="G24" s="9"/>
      <c r="H24" s="9"/>
      <c r="I24" s="10"/>
      <c r="J24" s="11">
        <v>0</v>
      </c>
      <c r="K24" s="9"/>
      <c r="L24" s="9"/>
      <c r="M24" s="7"/>
      <c r="N24" s="8"/>
      <c r="O24" s="20" t="str">
        <f t="shared" ca="1" si="3"/>
        <v>未着手</v>
      </c>
    </row>
    <row r="25" spans="2:15" ht="21.95" customHeight="1" x14ac:dyDescent="0.15">
      <c r="B25" s="19" t="s">
        <v>73</v>
      </c>
      <c r="C25" s="8"/>
      <c r="D25" s="8" t="s">
        <v>85</v>
      </c>
      <c r="E25" s="8"/>
      <c r="F25" s="7"/>
      <c r="G25" s="9"/>
      <c r="H25" s="9"/>
      <c r="I25" s="10"/>
      <c r="J25" s="11">
        <v>0</v>
      </c>
      <c r="K25" s="9"/>
      <c r="L25" s="9"/>
      <c r="M25" s="7"/>
      <c r="N25" s="8"/>
      <c r="O25" s="20" t="str">
        <f t="shared" ref="O25" ca="1" si="4">IF(J25=1, "完了", IF(ISBLANK(K25), "未着手", IF(AND(H25&lt;TODAY(), J25&lt;1), "遅延", "進行中")))</f>
        <v>未着手</v>
      </c>
    </row>
    <row r="26" spans="2:15" ht="21.95" customHeight="1" x14ac:dyDescent="0.15">
      <c r="B26" s="19" t="s">
        <v>74</v>
      </c>
      <c r="C26" s="8"/>
      <c r="D26" s="8" t="s">
        <v>55</v>
      </c>
      <c r="E26" s="8" t="s">
        <v>57</v>
      </c>
      <c r="F26" s="7"/>
      <c r="G26" s="9"/>
      <c r="H26" s="9"/>
      <c r="I26" s="10"/>
      <c r="J26" s="11">
        <v>0</v>
      </c>
      <c r="K26" s="9"/>
      <c r="L26" s="9"/>
      <c r="M26" s="7" t="s">
        <v>37</v>
      </c>
      <c r="N26" s="8" t="s">
        <v>39</v>
      </c>
      <c r="O26" s="20" t="str">
        <f t="shared" ca="1" si="0"/>
        <v>未着手</v>
      </c>
    </row>
    <row r="27" spans="2:15" ht="24" customHeight="1" thickBot="1" x14ac:dyDescent="0.2">
      <c r="B27" s="17" t="s">
        <v>40</v>
      </c>
      <c r="C27" s="3" t="s">
        <v>89</v>
      </c>
      <c r="D27" s="3"/>
      <c r="E27" s="3"/>
      <c r="F27" s="2"/>
      <c r="G27" s="4">
        <f>MIN(G28:G59)</f>
        <v>46279</v>
      </c>
      <c r="H27" s="12">
        <f>MAX(H28:H59)</f>
        <v>46295</v>
      </c>
      <c r="I27" s="5">
        <f>SUM(I28:I59)</f>
        <v>10</v>
      </c>
      <c r="J27" s="6">
        <f>AVERAGE(J28:J59)</f>
        <v>0</v>
      </c>
      <c r="K27" s="4"/>
      <c r="L27" s="4"/>
      <c r="M27" s="2"/>
      <c r="N27" s="3"/>
      <c r="O27" s="18" t="str">
        <f t="shared" ca="1" si="0"/>
        <v>未着手</v>
      </c>
    </row>
    <row r="28" spans="2:15" ht="21.95" customHeight="1" x14ac:dyDescent="0.15">
      <c r="B28" s="19" t="s">
        <v>41</v>
      </c>
      <c r="C28" s="8"/>
      <c r="D28" s="8" t="s">
        <v>42</v>
      </c>
      <c r="E28" s="8" t="s">
        <v>43</v>
      </c>
      <c r="F28" s="7"/>
      <c r="G28" s="9">
        <v>46279</v>
      </c>
      <c r="H28" s="9">
        <v>46295</v>
      </c>
      <c r="I28" s="10">
        <v>10</v>
      </c>
      <c r="J28" s="11">
        <v>0</v>
      </c>
      <c r="K28" s="9"/>
      <c r="L28" s="9"/>
      <c r="M28" s="7" t="s">
        <v>33</v>
      </c>
      <c r="N28" s="8" t="s">
        <v>44</v>
      </c>
      <c r="O28" s="20" t="str">
        <f t="shared" ca="1" si="0"/>
        <v>未着手</v>
      </c>
    </row>
    <row r="29" spans="2:15" ht="21.95" customHeight="1" x14ac:dyDescent="0.15">
      <c r="B29" s="19" t="s">
        <v>45</v>
      </c>
      <c r="C29" s="8" t="s">
        <v>104</v>
      </c>
      <c r="D29" s="8" t="s">
        <v>87</v>
      </c>
      <c r="E29" s="8" t="s">
        <v>56</v>
      </c>
      <c r="F29" s="7"/>
      <c r="G29" s="9"/>
      <c r="H29" s="9"/>
      <c r="I29" s="10"/>
      <c r="J29" s="11">
        <v>0</v>
      </c>
      <c r="K29" s="9"/>
      <c r="L29" s="9"/>
      <c r="M29" s="7"/>
      <c r="N29" s="8" t="s">
        <v>46</v>
      </c>
      <c r="O29" s="20" t="str">
        <f t="shared" ref="O29:O35" ca="1" si="5">IF(J29=1, "完了", IF(ISBLANK(K29), "未着手", IF(AND(H29&lt;TODAY(), J29&lt;1), "遅延", "進行中")))</f>
        <v>未着手</v>
      </c>
    </row>
    <row r="30" spans="2:15" ht="21.95" customHeight="1" x14ac:dyDescent="0.15">
      <c r="B30" s="19" t="s">
        <v>47</v>
      </c>
      <c r="C30" s="8"/>
      <c r="D30" s="8" t="s">
        <v>87</v>
      </c>
      <c r="E30" s="8" t="s">
        <v>88</v>
      </c>
      <c r="F30" s="7"/>
      <c r="G30" s="9"/>
      <c r="H30" s="9"/>
      <c r="I30" s="10"/>
      <c r="J30" s="11">
        <v>0</v>
      </c>
      <c r="K30" s="9"/>
      <c r="L30" s="9"/>
      <c r="M30" s="7"/>
      <c r="N30" s="8"/>
      <c r="O30" s="20" t="str">
        <f t="shared" ref="O30:O33" ca="1" si="6">IF(J30=1, "完了", IF(ISBLANK(K30), "未着手", IF(AND(H30&lt;TODAY(), J30&lt;1), "遅延", "進行中")))</f>
        <v>未着手</v>
      </c>
    </row>
    <row r="31" spans="2:15" ht="21.95" customHeight="1" x14ac:dyDescent="0.15">
      <c r="B31" s="19" t="s">
        <v>75</v>
      </c>
      <c r="C31" s="8"/>
      <c r="D31" s="8" t="s">
        <v>92</v>
      </c>
      <c r="E31" s="8" t="s">
        <v>56</v>
      </c>
      <c r="F31" s="7"/>
      <c r="G31" s="9"/>
      <c r="H31" s="9"/>
      <c r="I31" s="10"/>
      <c r="J31" s="11">
        <v>0</v>
      </c>
      <c r="K31" s="9"/>
      <c r="L31" s="9"/>
      <c r="M31" s="7"/>
      <c r="N31" s="8"/>
      <c r="O31" s="20" t="str">
        <f t="shared" ca="1" si="6"/>
        <v>未着手</v>
      </c>
    </row>
    <row r="32" spans="2:15" ht="21.95" customHeight="1" x14ac:dyDescent="0.15">
      <c r="B32" s="19" t="s">
        <v>76</v>
      </c>
      <c r="C32" s="8"/>
      <c r="D32" s="8" t="s">
        <v>92</v>
      </c>
      <c r="E32" s="8" t="s">
        <v>88</v>
      </c>
      <c r="F32" s="7"/>
      <c r="G32" s="9"/>
      <c r="H32" s="9"/>
      <c r="I32" s="10"/>
      <c r="J32" s="11">
        <v>0</v>
      </c>
      <c r="K32" s="9"/>
      <c r="L32" s="9"/>
      <c r="M32" s="7"/>
      <c r="N32" s="8"/>
      <c r="O32" s="20" t="str">
        <f t="shared" ca="1" si="6"/>
        <v>未着手</v>
      </c>
    </row>
    <row r="33" spans="2:15" ht="21.95" customHeight="1" x14ac:dyDescent="0.15">
      <c r="B33" s="19" t="s">
        <v>77</v>
      </c>
      <c r="C33" s="8"/>
      <c r="D33" s="8" t="s">
        <v>93</v>
      </c>
      <c r="E33" s="8" t="s">
        <v>56</v>
      </c>
      <c r="F33" s="7"/>
      <c r="G33" s="9"/>
      <c r="H33" s="9"/>
      <c r="I33" s="10"/>
      <c r="J33" s="11">
        <v>0</v>
      </c>
      <c r="K33" s="9"/>
      <c r="L33" s="9"/>
      <c r="M33" s="7"/>
      <c r="N33" s="8"/>
      <c r="O33" s="20" t="str">
        <f t="shared" ca="1" si="6"/>
        <v>未着手</v>
      </c>
    </row>
    <row r="34" spans="2:15" ht="21.95" customHeight="1" x14ac:dyDescent="0.15">
      <c r="B34" s="19" t="s">
        <v>78</v>
      </c>
      <c r="C34" s="8"/>
      <c r="D34" s="8" t="s">
        <v>93</v>
      </c>
      <c r="E34" s="8" t="s">
        <v>88</v>
      </c>
      <c r="F34" s="7"/>
      <c r="G34" s="9"/>
      <c r="H34" s="9"/>
      <c r="I34" s="10"/>
      <c r="J34" s="11">
        <v>0</v>
      </c>
      <c r="K34" s="9"/>
      <c r="L34" s="9"/>
      <c r="M34" s="7"/>
      <c r="N34" s="8"/>
      <c r="O34" s="20" t="str">
        <f t="shared" ca="1" si="5"/>
        <v>未着手</v>
      </c>
    </row>
    <row r="35" spans="2:15" ht="21.95" customHeight="1" x14ac:dyDescent="0.15">
      <c r="B35" s="19" t="s">
        <v>79</v>
      </c>
      <c r="C35" s="8"/>
      <c r="D35" s="8" t="s">
        <v>94</v>
      </c>
      <c r="E35" s="8" t="s">
        <v>56</v>
      </c>
      <c r="F35" s="7"/>
      <c r="G35" s="9"/>
      <c r="H35" s="9"/>
      <c r="I35" s="10"/>
      <c r="J35" s="11">
        <v>0</v>
      </c>
      <c r="K35" s="9"/>
      <c r="L35" s="9"/>
      <c r="M35" s="7"/>
      <c r="N35" s="8"/>
      <c r="O35" s="20" t="str">
        <f t="shared" ca="1" si="5"/>
        <v>未着手</v>
      </c>
    </row>
    <row r="36" spans="2:15" ht="21.95" customHeight="1" x14ac:dyDescent="0.15">
      <c r="B36" s="19" t="s">
        <v>80</v>
      </c>
      <c r="C36" s="8"/>
      <c r="D36" s="8" t="s">
        <v>94</v>
      </c>
      <c r="E36" s="8" t="s">
        <v>88</v>
      </c>
      <c r="F36" s="7"/>
      <c r="G36" s="9"/>
      <c r="H36" s="9"/>
      <c r="I36" s="10"/>
      <c r="J36" s="11">
        <v>0</v>
      </c>
      <c r="K36" s="9"/>
      <c r="L36" s="9"/>
      <c r="M36" s="7"/>
      <c r="N36" s="8"/>
      <c r="O36" s="20" t="str">
        <f t="shared" ca="1" si="0"/>
        <v>未着手</v>
      </c>
    </row>
    <row r="37" spans="2:15" ht="21.95" customHeight="1" x14ac:dyDescent="0.15">
      <c r="B37" s="19" t="s">
        <v>81</v>
      </c>
      <c r="C37" s="8"/>
      <c r="D37" s="8" t="s">
        <v>95</v>
      </c>
      <c r="E37" s="8" t="s">
        <v>56</v>
      </c>
      <c r="F37" s="7"/>
      <c r="G37" s="9"/>
      <c r="H37" s="9"/>
      <c r="I37" s="10"/>
      <c r="J37" s="11">
        <v>0</v>
      </c>
      <c r="K37" s="9"/>
      <c r="L37" s="9"/>
      <c r="M37" s="7"/>
      <c r="N37" s="8" t="s">
        <v>46</v>
      </c>
      <c r="O37" s="20" t="str">
        <f t="shared" ca="1" si="0"/>
        <v>未着手</v>
      </c>
    </row>
    <row r="38" spans="2:15" ht="21.95" customHeight="1" x14ac:dyDescent="0.15">
      <c r="B38" s="19" t="s">
        <v>82</v>
      </c>
      <c r="C38" s="8"/>
      <c r="D38" s="8" t="s">
        <v>95</v>
      </c>
      <c r="E38" s="8" t="s">
        <v>88</v>
      </c>
      <c r="F38" s="7"/>
      <c r="G38" s="9"/>
      <c r="H38" s="9"/>
      <c r="I38" s="10"/>
      <c r="J38" s="11">
        <v>0</v>
      </c>
      <c r="K38" s="9"/>
      <c r="L38" s="9"/>
      <c r="M38" s="7"/>
      <c r="N38" s="8"/>
      <c r="O38" s="20" t="str">
        <f t="shared" ca="1" si="0"/>
        <v>未着手</v>
      </c>
    </row>
    <row r="39" spans="2:15" ht="21.95" customHeight="1" x14ac:dyDescent="0.15">
      <c r="B39" s="19" t="s">
        <v>96</v>
      </c>
      <c r="C39" s="8" t="s">
        <v>105</v>
      </c>
      <c r="D39" s="8" t="s">
        <v>87</v>
      </c>
      <c r="E39" s="8" t="s">
        <v>56</v>
      </c>
      <c r="F39" s="7"/>
      <c r="G39" s="9"/>
      <c r="H39" s="9"/>
      <c r="I39" s="10"/>
      <c r="J39" s="11">
        <v>0</v>
      </c>
      <c r="K39" s="9"/>
      <c r="L39" s="9"/>
      <c r="M39" s="7"/>
      <c r="N39" s="8" t="s">
        <v>46</v>
      </c>
      <c r="O39" s="20" t="str">
        <f t="shared" ca="1" si="0"/>
        <v>未着手</v>
      </c>
    </row>
    <row r="40" spans="2:15" ht="21.95" customHeight="1" x14ac:dyDescent="0.15">
      <c r="B40" s="19" t="s">
        <v>97</v>
      </c>
      <c r="C40" s="8"/>
      <c r="D40" s="8" t="s">
        <v>87</v>
      </c>
      <c r="E40" s="8" t="s">
        <v>88</v>
      </c>
      <c r="F40" s="7"/>
      <c r="G40" s="9"/>
      <c r="H40" s="9"/>
      <c r="I40" s="10"/>
      <c r="J40" s="11">
        <v>0</v>
      </c>
      <c r="K40" s="9"/>
      <c r="L40" s="9"/>
      <c r="M40" s="7"/>
      <c r="N40" s="8"/>
      <c r="O40" s="20" t="str">
        <f t="shared" ca="1" si="0"/>
        <v>未着手</v>
      </c>
    </row>
    <row r="41" spans="2:15" ht="21.95" customHeight="1" x14ac:dyDescent="0.15">
      <c r="B41" s="19" t="s">
        <v>98</v>
      </c>
      <c r="C41" s="8"/>
      <c r="D41" s="8" t="s">
        <v>92</v>
      </c>
      <c r="E41" s="8" t="s">
        <v>56</v>
      </c>
      <c r="F41" s="7"/>
      <c r="G41" s="9"/>
      <c r="H41" s="9"/>
      <c r="I41" s="10"/>
      <c r="J41" s="11">
        <v>0</v>
      </c>
      <c r="K41" s="9"/>
      <c r="L41" s="9"/>
      <c r="M41" s="7"/>
      <c r="N41" s="8"/>
      <c r="O41" s="20" t="str">
        <f t="shared" ca="1" si="0"/>
        <v>未着手</v>
      </c>
    </row>
    <row r="42" spans="2:15" ht="21.95" customHeight="1" x14ac:dyDescent="0.15">
      <c r="B42" s="19" t="s">
        <v>99</v>
      </c>
      <c r="C42" s="8"/>
      <c r="D42" s="8" t="s">
        <v>92</v>
      </c>
      <c r="E42" s="8" t="s">
        <v>88</v>
      </c>
      <c r="F42" s="7"/>
      <c r="G42" s="9"/>
      <c r="H42" s="9"/>
      <c r="I42" s="10"/>
      <c r="J42" s="11">
        <v>0</v>
      </c>
      <c r="K42" s="9"/>
      <c r="L42" s="9"/>
      <c r="M42" s="7"/>
      <c r="N42" s="8"/>
      <c r="O42" s="20" t="str">
        <f t="shared" ca="1" si="0"/>
        <v>未着手</v>
      </c>
    </row>
    <row r="43" spans="2:15" ht="21.95" customHeight="1" x14ac:dyDescent="0.15">
      <c r="B43" s="19" t="s">
        <v>100</v>
      </c>
      <c r="C43" s="8"/>
      <c r="D43" s="8" t="s">
        <v>93</v>
      </c>
      <c r="E43" s="8" t="s">
        <v>56</v>
      </c>
      <c r="F43" s="7"/>
      <c r="G43" s="9"/>
      <c r="H43" s="9"/>
      <c r="I43" s="10"/>
      <c r="J43" s="11">
        <v>0</v>
      </c>
      <c r="K43" s="9"/>
      <c r="L43" s="9"/>
      <c r="M43" s="7"/>
      <c r="N43" s="8"/>
      <c r="O43" s="20" t="str">
        <f t="shared" ca="1" si="0"/>
        <v>未着手</v>
      </c>
    </row>
    <row r="44" spans="2:15" ht="21.95" customHeight="1" x14ac:dyDescent="0.15">
      <c r="B44" s="19" t="s">
        <v>101</v>
      </c>
      <c r="C44" s="8"/>
      <c r="D44" s="8" t="s">
        <v>93</v>
      </c>
      <c r="E44" s="8" t="s">
        <v>88</v>
      </c>
      <c r="F44" s="7"/>
      <c r="G44" s="9"/>
      <c r="H44" s="9"/>
      <c r="I44" s="10"/>
      <c r="J44" s="11">
        <v>0</v>
      </c>
      <c r="K44" s="9"/>
      <c r="L44" s="9"/>
      <c r="M44" s="7"/>
      <c r="N44" s="8"/>
      <c r="O44" s="20" t="str">
        <f t="shared" ca="1" si="0"/>
        <v>未着手</v>
      </c>
    </row>
    <row r="45" spans="2:15" ht="21.95" customHeight="1" x14ac:dyDescent="0.15">
      <c r="B45" s="19" t="s">
        <v>102</v>
      </c>
      <c r="C45" s="8"/>
      <c r="D45" s="8" t="s">
        <v>94</v>
      </c>
      <c r="E45" s="8" t="s">
        <v>56</v>
      </c>
      <c r="F45" s="7"/>
      <c r="G45" s="9"/>
      <c r="H45" s="9"/>
      <c r="I45" s="10"/>
      <c r="J45" s="11">
        <v>0</v>
      </c>
      <c r="K45" s="9"/>
      <c r="L45" s="9"/>
      <c r="M45" s="7"/>
      <c r="N45" s="8"/>
      <c r="O45" s="20" t="str">
        <f t="shared" ca="1" si="0"/>
        <v>未着手</v>
      </c>
    </row>
    <row r="46" spans="2:15" ht="21.95" customHeight="1" x14ac:dyDescent="0.15">
      <c r="B46" s="19" t="s">
        <v>103</v>
      </c>
      <c r="C46" s="8"/>
      <c r="D46" s="8" t="s">
        <v>94</v>
      </c>
      <c r="E46" s="8" t="s">
        <v>88</v>
      </c>
      <c r="F46" s="7"/>
      <c r="G46" s="9"/>
      <c r="H46" s="9"/>
      <c r="I46" s="10"/>
      <c r="J46" s="11">
        <v>0</v>
      </c>
      <c r="K46" s="9"/>
      <c r="L46" s="9"/>
      <c r="M46" s="7"/>
      <c r="N46" s="8"/>
      <c r="O46" s="20" t="str">
        <f t="shared" ref="O46:O48" ca="1" si="7">IF(J46=1, "完了", IF(ISBLANK(K46), "未着手", IF(AND(H46&lt;TODAY(), J46&lt;1), "遅延", "進行中")))</f>
        <v>未着手</v>
      </c>
    </row>
    <row r="47" spans="2:15" ht="21.95" customHeight="1" x14ac:dyDescent="0.15">
      <c r="B47" s="19" t="s">
        <v>106</v>
      </c>
      <c r="C47" s="8"/>
      <c r="D47" s="8" t="s">
        <v>95</v>
      </c>
      <c r="E47" s="8" t="s">
        <v>56</v>
      </c>
      <c r="F47" s="7"/>
      <c r="G47" s="9"/>
      <c r="H47" s="9"/>
      <c r="I47" s="10"/>
      <c r="J47" s="11">
        <v>0</v>
      </c>
      <c r="K47" s="9"/>
      <c r="L47" s="9"/>
      <c r="M47" s="7"/>
      <c r="N47" s="8" t="s">
        <v>46</v>
      </c>
      <c r="O47" s="20" t="str">
        <f t="shared" ca="1" si="7"/>
        <v>未着手</v>
      </c>
    </row>
    <row r="48" spans="2:15" ht="21.95" customHeight="1" x14ac:dyDescent="0.15">
      <c r="B48" s="19" t="s">
        <v>107</v>
      </c>
      <c r="C48" s="8"/>
      <c r="D48" s="8" t="s">
        <v>95</v>
      </c>
      <c r="E48" s="8" t="s">
        <v>88</v>
      </c>
      <c r="F48" s="7"/>
      <c r="G48" s="9"/>
      <c r="H48" s="9"/>
      <c r="I48" s="10"/>
      <c r="J48" s="11">
        <v>0</v>
      </c>
      <c r="K48" s="9"/>
      <c r="L48" s="9"/>
      <c r="M48" s="7"/>
      <c r="N48" s="8"/>
      <c r="O48" s="20" t="str">
        <f t="shared" ca="1" si="7"/>
        <v>未着手</v>
      </c>
    </row>
    <row r="49" spans="2:15" ht="21.95" customHeight="1" x14ac:dyDescent="0.15">
      <c r="B49" s="19" t="s">
        <v>108</v>
      </c>
      <c r="C49" s="8"/>
      <c r="D49" s="8"/>
      <c r="E49" s="8"/>
      <c r="F49" s="7"/>
      <c r="G49" s="9"/>
      <c r="H49" s="9"/>
      <c r="I49" s="10"/>
      <c r="J49" s="11">
        <v>0</v>
      </c>
      <c r="K49" s="9"/>
      <c r="L49" s="9"/>
      <c r="M49" s="7"/>
      <c r="N49" s="8"/>
      <c r="O49" s="20" t="str">
        <f t="shared" ca="1" si="0"/>
        <v>未着手</v>
      </c>
    </row>
    <row r="50" spans="2:15" ht="21.95" customHeight="1" x14ac:dyDescent="0.15">
      <c r="B50" s="19" t="s">
        <v>109</v>
      </c>
      <c r="C50" s="8"/>
      <c r="D50" s="8"/>
      <c r="E50" s="8"/>
      <c r="F50" s="7"/>
      <c r="G50" s="9"/>
      <c r="H50" s="9"/>
      <c r="I50" s="10"/>
      <c r="J50" s="11">
        <v>0</v>
      </c>
      <c r="K50" s="9"/>
      <c r="L50" s="9"/>
      <c r="M50" s="7"/>
      <c r="N50" s="8"/>
      <c r="O50" s="20" t="str">
        <f t="shared" ca="1" si="0"/>
        <v>未着手</v>
      </c>
    </row>
    <row r="51" spans="2:15" ht="21.95" customHeight="1" x14ac:dyDescent="0.15">
      <c r="B51" s="19" t="s">
        <v>110</v>
      </c>
      <c r="C51" s="8"/>
      <c r="D51" s="8"/>
      <c r="E51" s="8"/>
      <c r="F51" s="7"/>
      <c r="G51" s="9"/>
      <c r="H51" s="9"/>
      <c r="I51" s="10"/>
      <c r="J51" s="11">
        <v>0</v>
      </c>
      <c r="K51" s="9"/>
      <c r="L51" s="9"/>
      <c r="M51" s="7"/>
      <c r="N51" s="8"/>
      <c r="O51" s="20" t="str">
        <f t="shared" ca="1" si="0"/>
        <v>未着手</v>
      </c>
    </row>
    <row r="52" spans="2:15" ht="21.95" customHeight="1" x14ac:dyDescent="0.15">
      <c r="B52" s="19" t="s">
        <v>111</v>
      </c>
      <c r="C52" s="8"/>
      <c r="D52" s="8"/>
      <c r="E52" s="8"/>
      <c r="F52" s="7"/>
      <c r="G52" s="9"/>
      <c r="H52" s="9"/>
      <c r="I52" s="10"/>
      <c r="J52" s="11">
        <v>0</v>
      </c>
      <c r="K52" s="9"/>
      <c r="L52" s="9"/>
      <c r="M52" s="7"/>
      <c r="N52" s="8"/>
      <c r="O52" s="20" t="str">
        <f t="shared" ref="O52:O55" ca="1" si="8">IF(J52=1, "完了", IF(ISBLANK(K52), "未着手", IF(AND(H52&lt;TODAY(), J52&lt;1), "遅延", "進行中")))</f>
        <v>未着手</v>
      </c>
    </row>
    <row r="53" spans="2:15" ht="21.95" customHeight="1" x14ac:dyDescent="0.15">
      <c r="B53" s="19" t="s">
        <v>112</v>
      </c>
      <c r="C53" s="8"/>
      <c r="D53" s="8"/>
      <c r="E53" s="8"/>
      <c r="F53" s="7"/>
      <c r="G53" s="9"/>
      <c r="H53" s="9"/>
      <c r="I53" s="10"/>
      <c r="J53" s="11">
        <v>0</v>
      </c>
      <c r="K53" s="9"/>
      <c r="L53" s="9"/>
      <c r="M53" s="7"/>
      <c r="N53" s="8"/>
      <c r="O53" s="20" t="str">
        <f t="shared" ca="1" si="8"/>
        <v>未着手</v>
      </c>
    </row>
    <row r="54" spans="2:15" ht="21.95" customHeight="1" x14ac:dyDescent="0.15">
      <c r="B54" s="19" t="s">
        <v>113</v>
      </c>
      <c r="C54" s="8"/>
      <c r="D54" s="8"/>
      <c r="E54" s="8"/>
      <c r="F54" s="7"/>
      <c r="G54" s="9"/>
      <c r="H54" s="9"/>
      <c r="I54" s="10"/>
      <c r="J54" s="11">
        <v>0</v>
      </c>
      <c r="K54" s="9"/>
      <c r="L54" s="9"/>
      <c r="M54" s="7"/>
      <c r="N54" s="8"/>
      <c r="O54" s="20" t="str">
        <f t="shared" ca="1" si="8"/>
        <v>未着手</v>
      </c>
    </row>
    <row r="55" spans="2:15" ht="21.95" customHeight="1" x14ac:dyDescent="0.15">
      <c r="B55" s="19" t="s">
        <v>114</v>
      </c>
      <c r="C55" s="8"/>
      <c r="D55" s="8"/>
      <c r="E55" s="8"/>
      <c r="F55" s="7"/>
      <c r="G55" s="9"/>
      <c r="H55" s="9"/>
      <c r="I55" s="10"/>
      <c r="J55" s="11">
        <v>0</v>
      </c>
      <c r="K55" s="9"/>
      <c r="L55" s="9"/>
      <c r="M55" s="7"/>
      <c r="N55" s="8"/>
      <c r="O55" s="20" t="str">
        <f t="shared" ca="1" si="8"/>
        <v>未着手</v>
      </c>
    </row>
    <row r="56" spans="2:15" ht="21.95" customHeight="1" x14ac:dyDescent="0.15">
      <c r="B56" s="19" t="s">
        <v>115</v>
      </c>
      <c r="C56" s="8"/>
      <c r="D56" s="8"/>
      <c r="E56" s="8"/>
      <c r="F56" s="7"/>
      <c r="G56" s="9"/>
      <c r="H56" s="9"/>
      <c r="I56" s="10"/>
      <c r="J56" s="11">
        <v>0</v>
      </c>
      <c r="K56" s="9"/>
      <c r="L56" s="9"/>
      <c r="M56" s="7"/>
      <c r="N56" s="8"/>
      <c r="O56" s="20" t="str">
        <f t="shared" ca="1" si="0"/>
        <v>未着手</v>
      </c>
    </row>
    <row r="57" spans="2:15" ht="21.95" customHeight="1" x14ac:dyDescent="0.15">
      <c r="B57" s="19" t="s">
        <v>118</v>
      </c>
      <c r="C57" s="8"/>
      <c r="D57" s="8"/>
      <c r="E57" s="8"/>
      <c r="F57" s="7"/>
      <c r="G57" s="9"/>
      <c r="H57" s="9"/>
      <c r="I57" s="10"/>
      <c r="J57" s="11">
        <v>0</v>
      </c>
      <c r="K57" s="9"/>
      <c r="L57" s="9"/>
      <c r="M57" s="7"/>
      <c r="N57" s="8"/>
      <c r="O57" s="20" t="str">
        <f t="shared" ref="O57" ca="1" si="9">IF(J57=1, "完了", IF(ISBLANK(K57), "未着手", IF(AND(H57&lt;TODAY(), J57&lt;1), "遅延", "進行中")))</f>
        <v>未着手</v>
      </c>
    </row>
    <row r="58" spans="2:15" ht="21.95" customHeight="1" x14ac:dyDescent="0.15">
      <c r="B58" s="19" t="s">
        <v>119</v>
      </c>
      <c r="C58" s="8"/>
      <c r="D58" s="8"/>
      <c r="E58" s="8"/>
      <c r="F58" s="7"/>
      <c r="G58" s="9"/>
      <c r="H58" s="9"/>
      <c r="I58" s="10"/>
      <c r="J58" s="11">
        <v>0</v>
      </c>
      <c r="K58" s="9"/>
      <c r="L58" s="9"/>
      <c r="M58" s="7"/>
      <c r="N58" s="8"/>
      <c r="O58" s="20" t="str">
        <f t="shared" ca="1" si="0"/>
        <v>未着手</v>
      </c>
    </row>
    <row r="59" spans="2:15" ht="21.95" customHeight="1" x14ac:dyDescent="0.15">
      <c r="B59" s="19" t="s">
        <v>120</v>
      </c>
      <c r="C59" s="8"/>
      <c r="D59" s="8" t="s">
        <v>55</v>
      </c>
      <c r="E59" s="8"/>
      <c r="F59" s="7"/>
      <c r="G59" s="9"/>
      <c r="H59" s="9"/>
      <c r="I59" s="10"/>
      <c r="J59" s="11">
        <v>0</v>
      </c>
      <c r="K59" s="9"/>
      <c r="L59" s="9"/>
      <c r="M59" s="7" t="s">
        <v>37</v>
      </c>
      <c r="N59" s="8" t="s">
        <v>39</v>
      </c>
      <c r="O59" s="20" t="str">
        <f t="shared" ref="O59" ca="1" si="10">IF(J59=1, "完了", IF(ISBLANK(K59), "未着手", IF(AND(H59&lt;TODAY(), J59&lt;1), "遅延", "進行中")))</f>
        <v>未着手</v>
      </c>
    </row>
    <row r="60" spans="2:15" ht="24" customHeight="1" thickBot="1" x14ac:dyDescent="0.2">
      <c r="B60" s="17" t="s">
        <v>48</v>
      </c>
      <c r="C60" s="3" t="s">
        <v>90</v>
      </c>
      <c r="D60" s="3"/>
      <c r="E60" s="3"/>
      <c r="F60" s="2"/>
      <c r="G60" s="4">
        <f>MIN(G61:G74)</f>
        <v>0</v>
      </c>
      <c r="H60" s="12">
        <f>MAX(H61:H74)</f>
        <v>0</v>
      </c>
      <c r="I60" s="5">
        <f>SUM(I61:I74)</f>
        <v>0</v>
      </c>
      <c r="J60" s="6">
        <f ca="1">AVERAGE(J60:J74)</f>
        <v>0</v>
      </c>
      <c r="K60" s="4"/>
      <c r="L60" s="4"/>
      <c r="M60" s="2" t="s">
        <v>40</v>
      </c>
      <c r="N60" s="3" t="s">
        <v>49</v>
      </c>
      <c r="O60" s="18" t="str">
        <f t="shared" ca="1" si="0"/>
        <v>未着手</v>
      </c>
    </row>
    <row r="61" spans="2:15" ht="21.95" customHeight="1" x14ac:dyDescent="0.15">
      <c r="B61" s="19">
        <v>4.0999999999999996</v>
      </c>
      <c r="C61" s="8"/>
      <c r="D61" s="8"/>
      <c r="E61" s="8"/>
      <c r="F61" s="7"/>
      <c r="G61" s="9"/>
      <c r="H61" s="9"/>
      <c r="I61" s="10"/>
      <c r="J61" s="11">
        <v>0</v>
      </c>
      <c r="K61" s="9"/>
      <c r="L61" s="9"/>
      <c r="M61" s="7">
        <v>2.2000000000000002</v>
      </c>
      <c r="N61" s="8" t="s">
        <v>36</v>
      </c>
      <c r="O61" s="20" t="str">
        <f t="shared" ref="O61:O74" ca="1" si="11">IF(J61=1, "完了", IF(ISBLANK(K61), "未着手", IF(AND(H61&lt;TODAY(), J61&lt;1), "遅延", "進行中")))</f>
        <v>未着手</v>
      </c>
    </row>
    <row r="62" spans="2:15" ht="21.95" customHeight="1" x14ac:dyDescent="0.15">
      <c r="B62" s="19">
        <v>4.2</v>
      </c>
      <c r="C62" s="8" t="s">
        <v>104</v>
      </c>
      <c r="D62" s="8"/>
      <c r="E62" s="8"/>
      <c r="F62" s="7"/>
      <c r="G62" s="9"/>
      <c r="H62" s="9"/>
      <c r="I62" s="10"/>
      <c r="J62" s="11">
        <v>0</v>
      </c>
      <c r="K62" s="9"/>
      <c r="L62" s="9"/>
      <c r="M62" s="7"/>
      <c r="N62" s="8"/>
      <c r="O62" s="20" t="str">
        <f t="shared" ref="O62:O64" ca="1" si="12">IF(J62=1, "完了", IF(ISBLANK(K62), "未着手", IF(AND(H62&lt;TODAY(), J62&lt;1), "遅延", "進行中")))</f>
        <v>未着手</v>
      </c>
    </row>
    <row r="63" spans="2:15" ht="21.95" customHeight="1" x14ac:dyDescent="0.15">
      <c r="B63" s="19">
        <v>4.3</v>
      </c>
      <c r="C63" s="8"/>
      <c r="D63" s="8"/>
      <c r="E63" s="8"/>
      <c r="F63" s="7"/>
      <c r="G63" s="9"/>
      <c r="H63" s="9"/>
      <c r="I63" s="10"/>
      <c r="J63" s="11">
        <v>0</v>
      </c>
      <c r="K63" s="9"/>
      <c r="L63" s="9"/>
      <c r="M63" s="7"/>
      <c r="N63" s="8"/>
      <c r="O63" s="20" t="str">
        <f t="shared" ca="1" si="12"/>
        <v>未着手</v>
      </c>
    </row>
    <row r="64" spans="2:15" ht="21.95" customHeight="1" x14ac:dyDescent="0.15">
      <c r="B64" s="19">
        <v>4.4000000000000004</v>
      </c>
      <c r="C64" s="8"/>
      <c r="D64" s="8"/>
      <c r="E64" s="8"/>
      <c r="F64" s="7"/>
      <c r="G64" s="9"/>
      <c r="H64" s="9"/>
      <c r="I64" s="10"/>
      <c r="J64" s="11">
        <v>0</v>
      </c>
      <c r="K64" s="9"/>
      <c r="L64" s="9"/>
      <c r="M64" s="7"/>
      <c r="N64" s="8"/>
      <c r="O64" s="20" t="str">
        <f t="shared" ca="1" si="12"/>
        <v>未着手</v>
      </c>
    </row>
    <row r="65" spans="2:15" ht="21.95" customHeight="1" x14ac:dyDescent="0.15">
      <c r="B65" s="19">
        <v>4.5</v>
      </c>
      <c r="C65" s="8"/>
      <c r="D65" s="8"/>
      <c r="E65" s="8"/>
      <c r="F65" s="7"/>
      <c r="G65" s="9"/>
      <c r="H65" s="9"/>
      <c r="I65" s="10"/>
      <c r="J65" s="11">
        <v>0</v>
      </c>
      <c r="K65" s="9"/>
      <c r="L65" s="9"/>
      <c r="M65" s="7"/>
      <c r="N65" s="8"/>
      <c r="O65" s="20" t="str">
        <f t="shared" ca="1" si="11"/>
        <v>未着手</v>
      </c>
    </row>
    <row r="66" spans="2:15" ht="21.95" customHeight="1" x14ac:dyDescent="0.15">
      <c r="B66" s="19">
        <v>4.5999999999999996</v>
      </c>
      <c r="C66" s="8"/>
      <c r="D66" s="8"/>
      <c r="E66" s="8"/>
      <c r="F66" s="7"/>
      <c r="G66" s="9"/>
      <c r="H66" s="9"/>
      <c r="I66" s="10"/>
      <c r="J66" s="11">
        <v>0</v>
      </c>
      <c r="K66" s="9"/>
      <c r="L66" s="9"/>
      <c r="M66" s="7"/>
      <c r="N66" s="8"/>
      <c r="O66" s="20" t="str">
        <f t="shared" ref="O66" ca="1" si="13">IF(J66=1, "完了", IF(ISBLANK(K66), "未着手", IF(AND(H66&lt;TODAY(), J66&lt;1), "遅延", "進行中")))</f>
        <v>未着手</v>
      </c>
    </row>
    <row r="67" spans="2:15" ht="21.95" customHeight="1" x14ac:dyDescent="0.15">
      <c r="B67" s="19">
        <v>4.7</v>
      </c>
      <c r="C67" s="8"/>
      <c r="D67" s="8"/>
      <c r="E67" s="8"/>
      <c r="F67" s="7"/>
      <c r="G67" s="9"/>
      <c r="H67" s="9"/>
      <c r="I67" s="10"/>
      <c r="J67" s="11">
        <v>0</v>
      </c>
      <c r="K67" s="9"/>
      <c r="L67" s="9"/>
      <c r="M67" s="7"/>
      <c r="N67" s="8"/>
      <c r="O67" s="20" t="str">
        <f t="shared" ref="O67:O72" ca="1" si="14">IF(J67=1, "完了", IF(ISBLANK(K67), "未着手", IF(AND(H67&lt;TODAY(), J67&lt;1), "遅延", "進行中")))</f>
        <v>未着手</v>
      </c>
    </row>
    <row r="68" spans="2:15" ht="21.95" customHeight="1" x14ac:dyDescent="0.15">
      <c r="B68" s="19">
        <v>4.8</v>
      </c>
      <c r="C68" s="8" t="s">
        <v>105</v>
      </c>
      <c r="D68" s="8"/>
      <c r="E68" s="8"/>
      <c r="F68" s="7"/>
      <c r="G68" s="9"/>
      <c r="H68" s="9"/>
      <c r="I68" s="10"/>
      <c r="J68" s="11">
        <v>0</v>
      </c>
      <c r="K68" s="9"/>
      <c r="L68" s="9"/>
      <c r="M68" s="7"/>
      <c r="N68" s="8"/>
      <c r="O68" s="20" t="str">
        <f t="shared" ca="1" si="14"/>
        <v>未着手</v>
      </c>
    </row>
    <row r="69" spans="2:15" ht="21.95" customHeight="1" x14ac:dyDescent="0.15">
      <c r="B69" s="19">
        <v>4.9000000000000004</v>
      </c>
      <c r="C69" s="8"/>
      <c r="D69" s="8"/>
      <c r="E69" s="8"/>
      <c r="F69" s="7"/>
      <c r="G69" s="9"/>
      <c r="H69" s="9"/>
      <c r="I69" s="10"/>
      <c r="J69" s="11">
        <v>0</v>
      </c>
      <c r="K69" s="9"/>
      <c r="L69" s="9"/>
      <c r="M69" s="7"/>
      <c r="N69" s="8"/>
      <c r="O69" s="20" t="str">
        <f t="shared" ca="1" si="14"/>
        <v>未着手</v>
      </c>
    </row>
    <row r="70" spans="2:15" ht="21.95" customHeight="1" x14ac:dyDescent="0.15">
      <c r="B70" s="44">
        <v>4.0999999999999996</v>
      </c>
      <c r="C70" s="8"/>
      <c r="D70" s="8"/>
      <c r="E70" s="8"/>
      <c r="F70" s="7"/>
      <c r="G70" s="9"/>
      <c r="H70" s="9"/>
      <c r="I70" s="10"/>
      <c r="J70" s="11">
        <v>0</v>
      </c>
      <c r="K70" s="9"/>
      <c r="L70" s="9"/>
      <c r="M70" s="7"/>
      <c r="N70" s="8"/>
      <c r="O70" s="20" t="str">
        <f t="shared" ca="1" si="14"/>
        <v>未着手</v>
      </c>
    </row>
    <row r="71" spans="2:15" ht="21.95" customHeight="1" x14ac:dyDescent="0.15">
      <c r="B71" s="19">
        <v>4.1100000000000003</v>
      </c>
      <c r="C71" s="8"/>
      <c r="D71" s="8"/>
      <c r="E71" s="8"/>
      <c r="F71" s="7"/>
      <c r="G71" s="9"/>
      <c r="H71" s="9"/>
      <c r="I71" s="10"/>
      <c r="J71" s="11">
        <v>0</v>
      </c>
      <c r="K71" s="9"/>
      <c r="L71" s="9"/>
      <c r="M71" s="7"/>
      <c r="N71" s="8"/>
      <c r="O71" s="20" t="str">
        <f t="shared" ca="1" si="14"/>
        <v>未着手</v>
      </c>
    </row>
    <row r="72" spans="2:15" ht="21.95" customHeight="1" x14ac:dyDescent="0.15">
      <c r="B72" s="44">
        <v>4.12</v>
      </c>
      <c r="C72" s="8"/>
      <c r="D72" s="8"/>
      <c r="E72" s="8"/>
      <c r="F72" s="7"/>
      <c r="G72" s="9"/>
      <c r="H72" s="9"/>
      <c r="I72" s="10"/>
      <c r="J72" s="11">
        <v>0</v>
      </c>
      <c r="K72" s="9"/>
      <c r="L72" s="9"/>
      <c r="M72" s="7"/>
      <c r="N72" s="8"/>
      <c r="O72" s="20" t="str">
        <f t="shared" ca="1" si="14"/>
        <v>未着手</v>
      </c>
    </row>
    <row r="73" spans="2:15" ht="21.95" customHeight="1" x14ac:dyDescent="0.15">
      <c r="B73" s="19">
        <v>4.13</v>
      </c>
      <c r="C73" s="8"/>
      <c r="D73" s="8"/>
      <c r="E73" s="8"/>
      <c r="F73" s="7"/>
      <c r="G73" s="9"/>
      <c r="H73" s="9"/>
      <c r="I73" s="10"/>
      <c r="J73" s="11">
        <v>0</v>
      </c>
      <c r="K73" s="9"/>
      <c r="L73" s="9"/>
      <c r="M73" s="7"/>
      <c r="N73" s="8"/>
      <c r="O73" s="20" t="str">
        <f t="shared" ref="O73" ca="1" si="15">IF(J73=1, "完了", IF(ISBLANK(K73), "未着手", IF(AND(H73&lt;TODAY(), J73&lt;1), "遅延", "進行中")))</f>
        <v>未着手</v>
      </c>
    </row>
    <row r="74" spans="2:15" ht="21.95" customHeight="1" x14ac:dyDescent="0.15">
      <c r="B74" s="44">
        <v>4.1399999999999997</v>
      </c>
      <c r="C74" s="8"/>
      <c r="D74" s="8" t="s">
        <v>86</v>
      </c>
      <c r="E74" s="8"/>
      <c r="F74" s="7"/>
      <c r="G74" s="9"/>
      <c r="H74" s="9"/>
      <c r="I74" s="10"/>
      <c r="J74" s="11">
        <v>0</v>
      </c>
      <c r="K74" s="9"/>
      <c r="L74" s="9"/>
      <c r="M74" s="7"/>
      <c r="N74" s="8"/>
      <c r="O74" s="20" t="str">
        <f t="shared" ca="1" si="11"/>
        <v>未着手</v>
      </c>
    </row>
    <row r="75" spans="2:15" ht="24" customHeight="1" thickBot="1" x14ac:dyDescent="0.2">
      <c r="B75" s="17" t="s">
        <v>50</v>
      </c>
      <c r="C75" s="3" t="s">
        <v>91</v>
      </c>
      <c r="D75" s="3"/>
      <c r="E75" s="3"/>
      <c r="F75" s="2"/>
      <c r="G75" s="4">
        <f>MIN(G76:G84)</f>
        <v>0</v>
      </c>
      <c r="H75" s="12">
        <f>MAX(H76:H84)</f>
        <v>0</v>
      </c>
      <c r="I75" s="5">
        <f>SUM(I76:I84)</f>
        <v>0</v>
      </c>
      <c r="J75" s="6">
        <f>AVERAGE(J76:J84)</f>
        <v>0</v>
      </c>
      <c r="K75" s="4"/>
      <c r="L75" s="4"/>
      <c r="M75" s="13">
        <v>5</v>
      </c>
      <c r="N75" s="3" t="s">
        <v>51</v>
      </c>
      <c r="O75" s="18" t="str">
        <f t="shared" ca="1" si="0"/>
        <v>未着手</v>
      </c>
    </row>
    <row r="76" spans="2:15" ht="21.95" customHeight="1" x14ac:dyDescent="0.15">
      <c r="B76" s="19">
        <v>5.0999999999999996</v>
      </c>
      <c r="C76" s="8"/>
      <c r="D76" s="8" t="s">
        <v>54</v>
      </c>
      <c r="E76" s="8"/>
      <c r="F76" s="7"/>
      <c r="G76" s="9"/>
      <c r="H76" s="9"/>
      <c r="I76" s="10"/>
      <c r="J76" s="11">
        <v>0</v>
      </c>
      <c r="K76" s="9"/>
      <c r="L76" s="9"/>
      <c r="M76" s="7">
        <v>2.2000000000000002</v>
      </c>
      <c r="N76" s="8" t="s">
        <v>36</v>
      </c>
      <c r="O76" s="20" t="str">
        <f t="shared" ref="O76:O81" ca="1" si="16">IF(J76=1, "完了", IF(ISBLANK(K76), "未着手", IF(AND(H76&lt;TODAY(), J76&lt;1), "遅延", "進行中")))</f>
        <v>未着手</v>
      </c>
    </row>
    <row r="77" spans="2:15" ht="21.95" customHeight="1" x14ac:dyDescent="0.15">
      <c r="B77" s="19">
        <v>5.2</v>
      </c>
      <c r="C77" s="8"/>
      <c r="D77" s="8" t="s">
        <v>52</v>
      </c>
      <c r="E77" s="8"/>
      <c r="F77" s="7"/>
      <c r="G77" s="9"/>
      <c r="H77" s="45"/>
      <c r="I77" s="10"/>
      <c r="J77" s="11">
        <v>0</v>
      </c>
      <c r="K77" s="9"/>
      <c r="L77" s="9"/>
      <c r="M77" s="7"/>
      <c r="N77" s="8"/>
      <c r="O77" s="20" t="str">
        <f t="shared" ca="1" si="16"/>
        <v>未着手</v>
      </c>
    </row>
    <row r="78" spans="2:15" ht="21.95" customHeight="1" x14ac:dyDescent="0.15">
      <c r="B78" s="19">
        <v>5.3</v>
      </c>
      <c r="C78" s="8"/>
      <c r="D78" s="8" t="s">
        <v>53</v>
      </c>
      <c r="E78" s="8"/>
      <c r="F78" s="7"/>
      <c r="G78" s="9"/>
      <c r="H78" s="9"/>
      <c r="I78" s="10"/>
      <c r="J78" s="11">
        <v>0</v>
      </c>
      <c r="K78" s="9"/>
      <c r="L78" s="9"/>
      <c r="M78" s="7"/>
      <c r="N78" s="8"/>
      <c r="O78" s="20" t="str">
        <f t="shared" ca="1" si="16"/>
        <v>未着手</v>
      </c>
    </row>
    <row r="79" spans="2:15" ht="21.95" customHeight="1" x14ac:dyDescent="0.15">
      <c r="B79" s="19">
        <v>5.4</v>
      </c>
      <c r="C79" s="8"/>
      <c r="D79" s="8"/>
      <c r="E79" s="8"/>
      <c r="F79" s="7"/>
      <c r="G79" s="9"/>
      <c r="H79" s="9"/>
      <c r="I79" s="10"/>
      <c r="J79" s="11">
        <v>0</v>
      </c>
      <c r="K79" s="9"/>
      <c r="L79" s="9"/>
      <c r="M79" s="7"/>
      <c r="N79" s="8"/>
      <c r="O79" s="20" t="str">
        <f t="shared" ca="1" si="16"/>
        <v>未着手</v>
      </c>
    </row>
    <row r="80" spans="2:15" ht="21.95" customHeight="1" x14ac:dyDescent="0.15">
      <c r="B80" s="19">
        <v>5.5</v>
      </c>
      <c r="C80" s="8"/>
      <c r="D80" s="8"/>
      <c r="E80" s="8"/>
      <c r="F80" s="7"/>
      <c r="G80" s="9"/>
      <c r="H80" s="9"/>
      <c r="I80" s="10"/>
      <c r="J80" s="11">
        <v>0</v>
      </c>
      <c r="K80" s="9"/>
      <c r="L80" s="9"/>
      <c r="M80" s="7"/>
      <c r="N80" s="8"/>
      <c r="O80" s="20" t="str">
        <f t="shared" ca="1" si="16"/>
        <v>未着手</v>
      </c>
    </row>
    <row r="81" spans="2:15" ht="21.95" customHeight="1" x14ac:dyDescent="0.15">
      <c r="B81" s="36">
        <v>5.6</v>
      </c>
      <c r="C81" s="37"/>
      <c r="D81" s="37"/>
      <c r="E81" s="37"/>
      <c r="F81" s="38"/>
      <c r="G81" s="39"/>
      <c r="H81" s="39"/>
      <c r="I81" s="40"/>
      <c r="J81" s="41">
        <v>0</v>
      </c>
      <c r="K81" s="39"/>
      <c r="L81" s="39"/>
      <c r="M81" s="38"/>
      <c r="N81" s="37"/>
      <c r="O81" s="42" t="str">
        <f t="shared" ca="1" si="16"/>
        <v>未着手</v>
      </c>
    </row>
    <row r="82" spans="2:15" ht="21.95" customHeight="1" x14ac:dyDescent="0.15">
      <c r="B82" s="19">
        <v>5.7</v>
      </c>
      <c r="C82" s="8"/>
      <c r="D82" s="8"/>
      <c r="E82" s="8"/>
      <c r="F82" s="7"/>
      <c r="G82" s="9"/>
      <c r="H82" s="9"/>
      <c r="I82" s="10"/>
      <c r="J82" s="11">
        <v>0</v>
      </c>
      <c r="K82" s="9"/>
      <c r="L82" s="9"/>
      <c r="M82" s="7"/>
      <c r="N82" s="8"/>
      <c r="O82" s="20" t="str">
        <f t="shared" ca="1" si="0"/>
        <v>未着手</v>
      </c>
    </row>
    <row r="83" spans="2:15" ht="21.95" customHeight="1" x14ac:dyDescent="0.15">
      <c r="B83" s="19">
        <v>5.8</v>
      </c>
      <c r="C83" s="8"/>
      <c r="D83" s="8"/>
      <c r="E83" s="8"/>
      <c r="F83" s="7"/>
      <c r="G83" s="9"/>
      <c r="H83" s="9"/>
      <c r="I83" s="10"/>
      <c r="J83" s="11">
        <v>0</v>
      </c>
      <c r="K83" s="9"/>
      <c r="L83" s="9"/>
      <c r="M83" s="7"/>
      <c r="N83" s="8"/>
      <c r="O83" s="20" t="str">
        <f t="shared" ref="O83" ca="1" si="17">IF(J83=1, "完了", IF(ISBLANK(K83), "未着手", IF(AND(H83&lt;TODAY(), J83&lt;1), "遅延", "進行中")))</f>
        <v>未着手</v>
      </c>
    </row>
    <row r="84" spans="2:15" ht="21.95" customHeight="1" x14ac:dyDescent="0.15">
      <c r="B84" s="36">
        <v>5.9</v>
      </c>
      <c r="C84" s="37"/>
      <c r="D84" s="37"/>
      <c r="E84" s="37"/>
      <c r="F84" s="38"/>
      <c r="G84" s="39"/>
      <c r="H84" s="39"/>
      <c r="I84" s="40"/>
      <c r="J84" s="41">
        <v>0</v>
      </c>
      <c r="K84" s="39"/>
      <c r="L84" s="39"/>
      <c r="M84" s="38"/>
      <c r="N84" s="37"/>
      <c r="O84" s="42" t="str">
        <f t="shared" ca="1" si="0"/>
        <v>未着手</v>
      </c>
    </row>
    <row r="85" spans="2:15" ht="24" customHeight="1" thickBot="1" x14ac:dyDescent="0.2">
      <c r="B85" s="27">
        <v>6</v>
      </c>
      <c r="C85" s="28" t="s">
        <v>116</v>
      </c>
      <c r="D85" s="28"/>
      <c r="E85" s="28"/>
      <c r="F85" s="29"/>
      <c r="G85" s="30">
        <f>MIN(G86:G95)</f>
        <v>0</v>
      </c>
      <c r="H85" s="31">
        <f>MAX(H86:H95)</f>
        <v>0</v>
      </c>
      <c r="I85" s="32">
        <f>SUM(I86:I95)</f>
        <v>0</v>
      </c>
      <c r="J85" s="33">
        <f>AVERAGE(J86:J95)</f>
        <v>0</v>
      </c>
      <c r="K85" s="30"/>
      <c r="L85" s="30"/>
      <c r="M85" s="34">
        <v>6</v>
      </c>
      <c r="N85" s="28" t="s">
        <v>117</v>
      </c>
      <c r="O85" s="35" t="str">
        <f t="shared" ref="O85:O95" ca="1" si="18">IF(J85=1, "完了", IF(ISBLANK(K85), "未着手", IF(AND(H85&lt;TODAY(), J85&lt;1), "遅延", "進行中")))</f>
        <v>未着手</v>
      </c>
    </row>
    <row r="86" spans="2:15" ht="21.95" customHeight="1" x14ac:dyDescent="0.15">
      <c r="B86" s="19">
        <v>6.1</v>
      </c>
      <c r="C86" s="8"/>
      <c r="D86" s="8"/>
      <c r="E86" s="8"/>
      <c r="F86" s="7"/>
      <c r="G86" s="9"/>
      <c r="H86" s="9"/>
      <c r="I86" s="10"/>
      <c r="J86" s="11">
        <v>0</v>
      </c>
      <c r="K86" s="9"/>
      <c r="L86" s="9"/>
      <c r="M86" s="7"/>
      <c r="N86" s="8"/>
      <c r="O86" s="20" t="str">
        <f t="shared" ca="1" si="18"/>
        <v>未着手</v>
      </c>
    </row>
    <row r="87" spans="2:15" ht="21.95" customHeight="1" x14ac:dyDescent="0.15">
      <c r="B87" s="19">
        <v>6.2</v>
      </c>
      <c r="C87" s="8"/>
      <c r="D87" s="8"/>
      <c r="E87" s="8"/>
      <c r="F87" s="7"/>
      <c r="G87" s="9"/>
      <c r="H87" s="9"/>
      <c r="I87" s="10"/>
      <c r="J87" s="11">
        <v>0</v>
      </c>
      <c r="K87" s="9"/>
      <c r="L87" s="9"/>
      <c r="M87" s="7"/>
      <c r="N87" s="8"/>
      <c r="O87" s="20" t="str">
        <f t="shared" ca="1" si="18"/>
        <v>未着手</v>
      </c>
    </row>
    <row r="88" spans="2:15" ht="21.95" customHeight="1" x14ac:dyDescent="0.15">
      <c r="B88" s="19">
        <v>6.3</v>
      </c>
      <c r="C88" s="8"/>
      <c r="D88" s="8"/>
      <c r="E88" s="8"/>
      <c r="F88" s="7"/>
      <c r="G88" s="9"/>
      <c r="H88" s="9"/>
      <c r="I88" s="10"/>
      <c r="J88" s="11">
        <v>0</v>
      </c>
      <c r="K88" s="9"/>
      <c r="L88" s="9"/>
      <c r="M88" s="7"/>
      <c r="N88" s="8"/>
      <c r="O88" s="20" t="str">
        <f t="shared" ca="1" si="18"/>
        <v>未着手</v>
      </c>
    </row>
    <row r="89" spans="2:15" ht="21.95" customHeight="1" x14ac:dyDescent="0.15">
      <c r="B89" s="19">
        <v>6.4</v>
      </c>
      <c r="C89" s="8"/>
      <c r="D89" s="8"/>
      <c r="E89" s="8"/>
      <c r="F89" s="7"/>
      <c r="G89" s="9"/>
      <c r="H89" s="9"/>
      <c r="I89" s="10"/>
      <c r="J89" s="11">
        <v>0</v>
      </c>
      <c r="K89" s="9"/>
      <c r="L89" s="9"/>
      <c r="M89" s="7"/>
      <c r="N89" s="8"/>
      <c r="O89" s="20" t="str">
        <f t="shared" ca="1" si="18"/>
        <v>未着手</v>
      </c>
    </row>
    <row r="90" spans="2:15" ht="21.95" customHeight="1" x14ac:dyDescent="0.15">
      <c r="B90" s="19">
        <v>6.5</v>
      </c>
      <c r="C90" s="8"/>
      <c r="D90" s="8"/>
      <c r="E90" s="8"/>
      <c r="F90" s="7"/>
      <c r="G90" s="9"/>
      <c r="H90" s="9"/>
      <c r="I90" s="10"/>
      <c r="J90" s="11">
        <v>0</v>
      </c>
      <c r="K90" s="9"/>
      <c r="L90" s="9"/>
      <c r="M90" s="7"/>
      <c r="N90" s="8"/>
      <c r="O90" s="20" t="str">
        <f t="shared" ca="1" si="18"/>
        <v>未着手</v>
      </c>
    </row>
    <row r="91" spans="2:15" ht="21.95" customHeight="1" x14ac:dyDescent="0.15">
      <c r="B91" s="19">
        <v>6.6</v>
      </c>
      <c r="C91" s="8"/>
      <c r="D91" s="8"/>
      <c r="E91" s="8"/>
      <c r="F91" s="7"/>
      <c r="G91" s="9"/>
      <c r="H91" s="9"/>
      <c r="I91" s="10"/>
      <c r="J91" s="11">
        <v>0</v>
      </c>
      <c r="K91" s="9"/>
      <c r="L91" s="9"/>
      <c r="M91" s="7"/>
      <c r="N91" s="8"/>
      <c r="O91" s="20" t="str">
        <f t="shared" ref="O91:O94" ca="1" si="19">IF(J91=1, "完了", IF(ISBLANK(K91), "未着手", IF(AND(H91&lt;TODAY(), J91&lt;1), "遅延", "進行中")))</f>
        <v>未着手</v>
      </c>
    </row>
    <row r="92" spans="2:15" ht="21.95" customHeight="1" x14ac:dyDescent="0.15">
      <c r="B92" s="19">
        <v>6.7</v>
      </c>
      <c r="C92" s="8"/>
      <c r="D92" s="8"/>
      <c r="E92" s="8"/>
      <c r="F92" s="7"/>
      <c r="G92" s="9"/>
      <c r="H92" s="9"/>
      <c r="I92" s="10"/>
      <c r="J92" s="11">
        <v>0</v>
      </c>
      <c r="K92" s="9"/>
      <c r="L92" s="9"/>
      <c r="M92" s="7"/>
      <c r="N92" s="8"/>
      <c r="O92" s="20" t="str">
        <f t="shared" ca="1" si="19"/>
        <v>未着手</v>
      </c>
    </row>
    <row r="93" spans="2:15" ht="21.95" customHeight="1" x14ac:dyDescent="0.15">
      <c r="B93" s="19">
        <v>6.8</v>
      </c>
      <c r="C93" s="8"/>
      <c r="D93" s="8"/>
      <c r="E93" s="8"/>
      <c r="F93" s="7"/>
      <c r="G93" s="9"/>
      <c r="H93" s="9"/>
      <c r="I93" s="10"/>
      <c r="J93" s="11">
        <v>0</v>
      </c>
      <c r="K93" s="9"/>
      <c r="L93" s="9"/>
      <c r="M93" s="7"/>
      <c r="N93" s="8"/>
      <c r="O93" s="20" t="str">
        <f t="shared" ca="1" si="19"/>
        <v>未着手</v>
      </c>
    </row>
    <row r="94" spans="2:15" ht="21.95" customHeight="1" x14ac:dyDescent="0.15">
      <c r="B94" s="19">
        <v>6.9</v>
      </c>
      <c r="C94" s="8"/>
      <c r="D94" s="8"/>
      <c r="E94" s="8"/>
      <c r="F94" s="7"/>
      <c r="G94" s="9"/>
      <c r="H94" s="9"/>
      <c r="I94" s="10"/>
      <c r="J94" s="11">
        <v>0</v>
      </c>
      <c r="K94" s="9"/>
      <c r="L94" s="9"/>
      <c r="M94" s="7"/>
      <c r="N94" s="8"/>
      <c r="O94" s="20" t="str">
        <f t="shared" ca="1" si="19"/>
        <v>未着手</v>
      </c>
    </row>
    <row r="95" spans="2:15" ht="21.95" customHeight="1" thickBot="1" x14ac:dyDescent="0.2">
      <c r="B95" s="43">
        <v>6.1</v>
      </c>
      <c r="C95" s="21"/>
      <c r="D95" s="21"/>
      <c r="E95" s="21"/>
      <c r="F95" s="22"/>
      <c r="G95" s="23"/>
      <c r="H95" s="23"/>
      <c r="I95" s="24"/>
      <c r="J95" s="25">
        <v>0</v>
      </c>
      <c r="K95" s="23"/>
      <c r="L95" s="23"/>
      <c r="M95" s="22"/>
      <c r="N95" s="21"/>
      <c r="O95" s="26" t="str">
        <f t="shared" ca="1" si="18"/>
        <v>未着手</v>
      </c>
    </row>
  </sheetData>
  <phoneticPr fontId="1"/>
  <dataValidations count="1">
    <dataValidation type="list" allowBlank="1" sqref="J3:J95" xr:uid="{00000000-0002-0000-0000-000000000000}">
      <formula1>"0%, 10%, 20%, 30%, 40%, 50%, 60%, 70%, 80%, 90%, 100%"</formula1>
    </dataValidation>
  </dataValidations>
  <pageMargins left="0.39370078740157483" right="0.39370078740157483" top="0.78740157480314965" bottom="0.39370078740157483" header="0.51181102362204722" footer="0.51181102362204722"/>
  <pageSetup paperSize="8" scale="95" orientation="landscape" horizontalDpi="0" verticalDpi="0" r:id="rId1"/>
  <headerFooter>
    <oddHeader>&amp;L&amp;A</oddHeader>
    <oddFooter>&amp;C&amp;P / &amp;N</oddFooter>
  </headerFooter>
  <rowBreaks count="2" manualBreakCount="2">
    <brk id="38" min="1" max="14" man="1"/>
    <brk id="74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515B-D7DE-4329-B971-6785C4BF9C64}">
  <dimension ref="B1:O95"/>
  <sheetViews>
    <sheetView tabSelected="1" view="pageBreakPreview" zoomScale="55" zoomScaleNormal="100" zoomScaleSheetLayoutView="55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3.625" style="1" customWidth="1"/>
    <col min="2" max="2" width="10" style="1" customWidth="1"/>
    <col min="3" max="3" width="18" style="1" customWidth="1"/>
    <col min="4" max="4" width="22" style="1" customWidth="1"/>
    <col min="5" max="5" width="30" style="1" customWidth="1"/>
    <col min="6" max="6" width="12" style="1" customWidth="1"/>
    <col min="7" max="8" width="14" style="1" customWidth="1"/>
    <col min="9" max="10" width="12" style="1" customWidth="1"/>
    <col min="11" max="12" width="14" style="1" customWidth="1"/>
    <col min="13" max="13" width="12" style="1" customWidth="1"/>
    <col min="14" max="14" width="18" style="1" customWidth="1"/>
    <col min="15" max="15" width="12" style="1" customWidth="1"/>
    <col min="16" max="16384" width="9" style="1"/>
  </cols>
  <sheetData>
    <row r="1" spans="2:15" ht="14.25" thickBot="1" x14ac:dyDescent="0.2"/>
    <row r="2" spans="2:15" ht="27.95" customHeight="1" x14ac:dyDescent="0.15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6" t="s">
        <v>13</v>
      </c>
    </row>
    <row r="3" spans="2:15" ht="24" customHeight="1" thickBot="1" x14ac:dyDescent="0.2">
      <c r="B3" s="17" t="s">
        <v>14</v>
      </c>
      <c r="C3" s="3" t="s">
        <v>15</v>
      </c>
      <c r="D3" s="3"/>
      <c r="E3" s="3"/>
      <c r="F3" s="2"/>
      <c r="G3" s="4">
        <f>MIN(G4:G6)</f>
        <v>46176</v>
      </c>
      <c r="H3" s="12">
        <f>MAX(H4:H6)</f>
        <v>46211</v>
      </c>
      <c r="I3" s="5">
        <f>SUM(I4:I6)</f>
        <v>0</v>
      </c>
      <c r="J3" s="6">
        <f>AVERAGE(J4:J6)</f>
        <v>0.80000000000000016</v>
      </c>
      <c r="K3" s="4"/>
      <c r="L3" s="4"/>
      <c r="M3" s="2"/>
      <c r="N3" s="3"/>
      <c r="O3" s="18" t="str">
        <f t="shared" ref="O3:O84" ca="1" si="0">IF(J3=1, "完了", IF(ISBLANK(K3), "未着手", IF(AND(H3&lt;TODAY(), J3&lt;1), "遅延", "進行中")))</f>
        <v>未着手</v>
      </c>
    </row>
    <row r="4" spans="2:15" ht="21.95" customHeight="1" x14ac:dyDescent="0.15">
      <c r="B4" s="19" t="s">
        <v>17</v>
      </c>
      <c r="C4" s="8"/>
      <c r="D4" s="8" t="s">
        <v>18</v>
      </c>
      <c r="E4" s="8" t="s">
        <v>19</v>
      </c>
      <c r="F4" s="7"/>
      <c r="G4" s="9">
        <v>46176</v>
      </c>
      <c r="H4" s="9">
        <v>46204</v>
      </c>
      <c r="I4" s="10"/>
      <c r="J4" s="11">
        <v>0.8</v>
      </c>
      <c r="K4" s="9" t="s">
        <v>16</v>
      </c>
      <c r="L4" s="9" t="s">
        <v>20</v>
      </c>
      <c r="M4" s="7"/>
      <c r="N4" s="8"/>
      <c r="O4" s="20" t="str">
        <f t="shared" ca="1" si="0"/>
        <v>遅延</v>
      </c>
    </row>
    <row r="5" spans="2:15" ht="21.95" customHeight="1" x14ac:dyDescent="0.15">
      <c r="B5" s="19" t="s">
        <v>21</v>
      </c>
      <c r="C5" s="8"/>
      <c r="D5" s="8" t="s">
        <v>22</v>
      </c>
      <c r="E5" s="8" t="s">
        <v>23</v>
      </c>
      <c r="F5" s="7"/>
      <c r="G5" s="9">
        <v>46183</v>
      </c>
      <c r="H5" s="9">
        <v>46211</v>
      </c>
      <c r="I5" s="10"/>
      <c r="J5" s="11">
        <v>0.8</v>
      </c>
      <c r="K5" s="9" t="s">
        <v>24</v>
      </c>
      <c r="L5" s="9" t="s">
        <v>25</v>
      </c>
      <c r="M5" s="7" t="s">
        <v>17</v>
      </c>
      <c r="N5" s="8" t="s">
        <v>26</v>
      </c>
      <c r="O5" s="20" t="str">
        <f t="shared" ca="1" si="0"/>
        <v>遅延</v>
      </c>
    </row>
    <row r="6" spans="2:15" ht="21.95" customHeight="1" x14ac:dyDescent="0.15">
      <c r="B6" s="19" t="s">
        <v>27</v>
      </c>
      <c r="C6" s="8"/>
      <c r="D6" s="8" t="s">
        <v>28</v>
      </c>
      <c r="E6" s="8" t="s">
        <v>29</v>
      </c>
      <c r="F6" s="7"/>
      <c r="G6" s="9"/>
      <c r="H6" s="9"/>
      <c r="I6" s="10"/>
      <c r="J6" s="11">
        <v>0.8</v>
      </c>
      <c r="K6" s="9" t="s">
        <v>30</v>
      </c>
      <c r="L6" s="9">
        <v>46327</v>
      </c>
      <c r="M6" s="7" t="s">
        <v>21</v>
      </c>
      <c r="N6" s="8"/>
      <c r="O6" s="20" t="str">
        <f t="shared" ca="1" si="0"/>
        <v>遅延</v>
      </c>
    </row>
    <row r="7" spans="2:15" ht="24" customHeight="1" thickBot="1" x14ac:dyDescent="0.2">
      <c r="B7" s="17" t="s">
        <v>31</v>
      </c>
      <c r="C7" s="3" t="s">
        <v>32</v>
      </c>
      <c r="D7" s="3"/>
      <c r="E7" s="3"/>
      <c r="F7" s="2"/>
      <c r="G7" s="4">
        <f>MIN(G8:G26)</f>
        <v>46267</v>
      </c>
      <c r="H7" s="12">
        <f>MAX(H8:H26)</f>
        <v>46285</v>
      </c>
      <c r="I7" s="5">
        <f>SUM(I8:I26)</f>
        <v>0</v>
      </c>
      <c r="J7" s="6">
        <f>AVERAGE(J8:J26)</f>
        <v>0</v>
      </c>
      <c r="K7" s="4"/>
      <c r="L7" s="4"/>
      <c r="M7" s="2"/>
      <c r="N7" s="3"/>
      <c r="O7" s="18" t="str">
        <f t="shared" ca="1" si="0"/>
        <v>未着手</v>
      </c>
    </row>
    <row r="8" spans="2:15" ht="21.95" customHeight="1" x14ac:dyDescent="0.15">
      <c r="B8" s="19" t="s">
        <v>33</v>
      </c>
      <c r="C8" s="8"/>
      <c r="D8" s="8" t="s">
        <v>84</v>
      </c>
      <c r="E8" s="8" t="s">
        <v>83</v>
      </c>
      <c r="F8" s="7"/>
      <c r="G8" s="9">
        <v>46267</v>
      </c>
      <c r="H8" s="9">
        <v>46283</v>
      </c>
      <c r="I8" s="10"/>
      <c r="J8" s="11">
        <v>0</v>
      </c>
      <c r="K8" s="9"/>
      <c r="L8" s="9"/>
      <c r="M8" s="7" t="s">
        <v>27</v>
      </c>
      <c r="N8" s="8"/>
      <c r="O8" s="20" t="str">
        <f t="shared" ca="1" si="0"/>
        <v>未着手</v>
      </c>
    </row>
    <row r="9" spans="2:15" ht="21.95" customHeight="1" x14ac:dyDescent="0.15">
      <c r="B9" s="19" t="s">
        <v>37</v>
      </c>
      <c r="C9" s="8"/>
      <c r="D9" s="8" t="s">
        <v>34</v>
      </c>
      <c r="E9" s="8" t="s">
        <v>35</v>
      </c>
      <c r="F9" s="7"/>
      <c r="G9" s="9">
        <v>46267</v>
      </c>
      <c r="H9" s="9">
        <v>46285</v>
      </c>
      <c r="I9" s="10"/>
      <c r="J9" s="11">
        <v>0</v>
      </c>
      <c r="K9" s="9"/>
      <c r="L9" s="9"/>
      <c r="M9" s="7" t="s">
        <v>33</v>
      </c>
      <c r="N9" s="8" t="s">
        <v>58</v>
      </c>
      <c r="O9" s="20" t="str">
        <f t="shared" ca="1" si="0"/>
        <v>未着手</v>
      </c>
    </row>
    <row r="10" spans="2:15" ht="21.95" customHeight="1" x14ac:dyDescent="0.15">
      <c r="B10" s="19" t="s">
        <v>38</v>
      </c>
      <c r="C10" s="8"/>
      <c r="D10" s="8"/>
      <c r="E10" s="8"/>
      <c r="F10" s="7"/>
      <c r="G10" s="9"/>
      <c r="H10" s="9"/>
      <c r="I10" s="10"/>
      <c r="J10" s="11">
        <v>0</v>
      </c>
      <c r="K10" s="9"/>
      <c r="L10" s="9"/>
      <c r="M10" s="7"/>
      <c r="N10" s="8"/>
      <c r="O10" s="20" t="str">
        <f t="shared" ca="1" si="0"/>
        <v>未着手</v>
      </c>
    </row>
    <row r="11" spans="2:15" ht="21.95" customHeight="1" x14ac:dyDescent="0.15">
      <c r="B11" s="19" t="s">
        <v>59</v>
      </c>
      <c r="C11" s="8"/>
      <c r="D11" s="8"/>
      <c r="E11" s="8"/>
      <c r="F11" s="7"/>
      <c r="G11" s="9"/>
      <c r="H11" s="9"/>
      <c r="I11" s="10"/>
      <c r="J11" s="11">
        <v>0</v>
      </c>
      <c r="K11" s="9"/>
      <c r="L11" s="9"/>
      <c r="M11" s="7"/>
      <c r="N11" s="8"/>
      <c r="O11" s="20" t="str">
        <f t="shared" ca="1" si="0"/>
        <v>未着手</v>
      </c>
    </row>
    <row r="12" spans="2:15" ht="21.95" customHeight="1" x14ac:dyDescent="0.15">
      <c r="B12" s="19" t="s">
        <v>60</v>
      </c>
      <c r="C12" s="8"/>
      <c r="D12" s="8"/>
      <c r="E12" s="8"/>
      <c r="F12" s="7"/>
      <c r="G12" s="9"/>
      <c r="H12" s="9"/>
      <c r="I12" s="10"/>
      <c r="J12" s="11">
        <v>0</v>
      </c>
      <c r="K12" s="9"/>
      <c r="L12" s="9"/>
      <c r="M12" s="7"/>
      <c r="N12" s="8"/>
      <c r="O12" s="20" t="str">
        <f t="shared" ca="1" si="0"/>
        <v>未着手</v>
      </c>
    </row>
    <row r="13" spans="2:15" ht="21.95" customHeight="1" x14ac:dyDescent="0.15">
      <c r="B13" s="19" t="s">
        <v>61</v>
      </c>
      <c r="C13" s="8"/>
      <c r="D13" s="8"/>
      <c r="E13" s="8"/>
      <c r="F13" s="7"/>
      <c r="G13" s="9"/>
      <c r="H13" s="9"/>
      <c r="I13" s="10"/>
      <c r="J13" s="11">
        <v>0</v>
      </c>
      <c r="K13" s="9"/>
      <c r="L13" s="9"/>
      <c r="M13" s="7"/>
      <c r="N13" s="8"/>
      <c r="O13" s="20" t="str">
        <f t="shared" ca="1" si="0"/>
        <v>未着手</v>
      </c>
    </row>
    <row r="14" spans="2:15" ht="21.95" customHeight="1" x14ac:dyDescent="0.15">
      <c r="B14" s="19" t="s">
        <v>62</v>
      </c>
      <c r="C14" s="8"/>
      <c r="D14" s="8"/>
      <c r="E14" s="8"/>
      <c r="F14" s="7"/>
      <c r="G14" s="9"/>
      <c r="H14" s="9"/>
      <c r="I14" s="10"/>
      <c r="J14" s="11">
        <v>0</v>
      </c>
      <c r="K14" s="9"/>
      <c r="L14" s="9"/>
      <c r="M14" s="7"/>
      <c r="N14" s="8"/>
      <c r="O14" s="20" t="str">
        <f t="shared" ca="1" si="0"/>
        <v>未着手</v>
      </c>
    </row>
    <row r="15" spans="2:15" ht="21.95" customHeight="1" x14ac:dyDescent="0.15">
      <c r="B15" s="19" t="s">
        <v>63</v>
      </c>
      <c r="C15" s="8"/>
      <c r="D15" s="8"/>
      <c r="E15" s="8"/>
      <c r="F15" s="7"/>
      <c r="G15" s="9"/>
      <c r="H15" s="9"/>
      <c r="I15" s="10"/>
      <c r="J15" s="11">
        <v>0</v>
      </c>
      <c r="K15" s="9"/>
      <c r="L15" s="9"/>
      <c r="M15" s="7"/>
      <c r="N15" s="8"/>
      <c r="O15" s="20" t="str">
        <f t="shared" ca="1" si="0"/>
        <v>未着手</v>
      </c>
    </row>
    <row r="16" spans="2:15" ht="21.95" customHeight="1" x14ac:dyDescent="0.15">
      <c r="B16" s="19" t="s">
        <v>64</v>
      </c>
      <c r="C16" s="8"/>
      <c r="D16" s="8"/>
      <c r="E16" s="8"/>
      <c r="F16" s="7"/>
      <c r="G16" s="9"/>
      <c r="H16" s="9"/>
      <c r="I16" s="10"/>
      <c r="J16" s="11">
        <v>0</v>
      </c>
      <c r="K16" s="9"/>
      <c r="L16" s="9"/>
      <c r="M16" s="7"/>
      <c r="N16" s="8"/>
      <c r="O16" s="20" t="str">
        <f t="shared" ca="1" si="0"/>
        <v>未着手</v>
      </c>
    </row>
    <row r="17" spans="2:15" ht="21.95" customHeight="1" x14ac:dyDescent="0.15">
      <c r="B17" s="19" t="s">
        <v>65</v>
      </c>
      <c r="C17" s="8"/>
      <c r="D17" s="8"/>
      <c r="E17" s="8"/>
      <c r="F17" s="7"/>
      <c r="G17" s="9"/>
      <c r="H17" s="9"/>
      <c r="I17" s="10"/>
      <c r="J17" s="11">
        <v>0</v>
      </c>
      <c r="K17" s="9"/>
      <c r="L17" s="9"/>
      <c r="M17" s="7"/>
      <c r="N17" s="8"/>
      <c r="O17" s="20" t="str">
        <f t="shared" ca="1" si="0"/>
        <v>未着手</v>
      </c>
    </row>
    <row r="18" spans="2:15" ht="21.95" customHeight="1" x14ac:dyDescent="0.15">
      <c r="B18" s="19" t="s">
        <v>66</v>
      </c>
      <c r="C18" s="8"/>
      <c r="D18" s="8"/>
      <c r="E18" s="8"/>
      <c r="F18" s="7"/>
      <c r="G18" s="9"/>
      <c r="H18" s="9"/>
      <c r="I18" s="10"/>
      <c r="J18" s="11">
        <v>0</v>
      </c>
      <c r="K18" s="9"/>
      <c r="L18" s="9"/>
      <c r="M18" s="7"/>
      <c r="N18" s="8"/>
      <c r="O18" s="20" t="str">
        <f t="shared" ca="1" si="0"/>
        <v>未着手</v>
      </c>
    </row>
    <row r="19" spans="2:15" ht="21.95" customHeight="1" x14ac:dyDescent="0.15">
      <c r="B19" s="19" t="s">
        <v>67</v>
      </c>
      <c r="C19" s="8"/>
      <c r="D19" s="8"/>
      <c r="E19" s="8"/>
      <c r="F19" s="7"/>
      <c r="G19" s="9"/>
      <c r="H19" s="9"/>
      <c r="I19" s="10"/>
      <c r="J19" s="11">
        <v>0</v>
      </c>
      <c r="K19" s="9"/>
      <c r="L19" s="9"/>
      <c r="M19" s="7"/>
      <c r="N19" s="8"/>
      <c r="O19" s="20" t="str">
        <f t="shared" ca="1" si="0"/>
        <v>未着手</v>
      </c>
    </row>
    <row r="20" spans="2:15" ht="21.95" customHeight="1" x14ac:dyDescent="0.15">
      <c r="B20" s="19" t="s">
        <v>68</v>
      </c>
      <c r="C20" s="8"/>
      <c r="D20" s="8"/>
      <c r="E20" s="8"/>
      <c r="F20" s="7"/>
      <c r="G20" s="9"/>
      <c r="H20" s="9"/>
      <c r="I20" s="10"/>
      <c r="J20" s="11">
        <v>0</v>
      </c>
      <c r="K20" s="9"/>
      <c r="L20" s="9"/>
      <c r="M20" s="7"/>
      <c r="N20" s="8"/>
      <c r="O20" s="20" t="str">
        <f t="shared" ca="1" si="0"/>
        <v>未着手</v>
      </c>
    </row>
    <row r="21" spans="2:15" ht="21.95" customHeight="1" x14ac:dyDescent="0.15">
      <c r="B21" s="19" t="s">
        <v>69</v>
      </c>
      <c r="C21" s="8"/>
      <c r="D21" s="8"/>
      <c r="E21" s="8"/>
      <c r="F21" s="7"/>
      <c r="G21" s="9"/>
      <c r="H21" s="9"/>
      <c r="I21" s="10"/>
      <c r="J21" s="11">
        <v>0</v>
      </c>
      <c r="K21" s="9"/>
      <c r="L21" s="9"/>
      <c r="M21" s="7"/>
      <c r="N21" s="8"/>
      <c r="O21" s="20" t="str">
        <f t="shared" ca="1" si="0"/>
        <v>未着手</v>
      </c>
    </row>
    <row r="22" spans="2:15" ht="21.95" customHeight="1" x14ac:dyDescent="0.15">
      <c r="B22" s="19" t="s">
        <v>70</v>
      </c>
      <c r="C22" s="8"/>
      <c r="D22" s="8"/>
      <c r="E22" s="8"/>
      <c r="F22" s="7"/>
      <c r="G22" s="9"/>
      <c r="H22" s="9"/>
      <c r="I22" s="10"/>
      <c r="J22" s="11">
        <v>0</v>
      </c>
      <c r="K22" s="9"/>
      <c r="L22" s="9"/>
      <c r="M22" s="7"/>
      <c r="N22" s="8"/>
      <c r="O22" s="20" t="str">
        <f t="shared" ca="1" si="0"/>
        <v>未着手</v>
      </c>
    </row>
    <row r="23" spans="2:15" ht="21.95" customHeight="1" x14ac:dyDescent="0.15">
      <c r="B23" s="19" t="s">
        <v>71</v>
      </c>
      <c r="C23" s="8"/>
      <c r="D23" s="8"/>
      <c r="E23" s="8"/>
      <c r="F23" s="7"/>
      <c r="G23" s="9"/>
      <c r="H23" s="9"/>
      <c r="I23" s="10"/>
      <c r="J23" s="11">
        <v>0</v>
      </c>
      <c r="K23" s="9"/>
      <c r="L23" s="9"/>
      <c r="M23" s="7"/>
      <c r="N23" s="8"/>
      <c r="O23" s="20" t="str">
        <f t="shared" ca="1" si="0"/>
        <v>未着手</v>
      </c>
    </row>
    <row r="24" spans="2:15" ht="21.95" customHeight="1" x14ac:dyDescent="0.15">
      <c r="B24" s="19" t="s">
        <v>72</v>
      </c>
      <c r="C24" s="8"/>
      <c r="D24" s="8"/>
      <c r="E24" s="8"/>
      <c r="F24" s="7"/>
      <c r="G24" s="9"/>
      <c r="H24" s="9"/>
      <c r="I24" s="10"/>
      <c r="J24" s="11">
        <v>0</v>
      </c>
      <c r="K24" s="9"/>
      <c r="L24" s="9"/>
      <c r="M24" s="7"/>
      <c r="N24" s="8"/>
      <c r="O24" s="20" t="str">
        <f t="shared" ca="1" si="0"/>
        <v>未着手</v>
      </c>
    </row>
    <row r="25" spans="2:15" ht="21.95" customHeight="1" x14ac:dyDescent="0.15">
      <c r="B25" s="19" t="s">
        <v>73</v>
      </c>
      <c r="C25" s="8"/>
      <c r="D25" s="8" t="s">
        <v>85</v>
      </c>
      <c r="E25" s="8"/>
      <c r="F25" s="7"/>
      <c r="G25" s="9"/>
      <c r="H25" s="9"/>
      <c r="I25" s="10"/>
      <c r="J25" s="11">
        <v>0</v>
      </c>
      <c r="K25" s="9"/>
      <c r="L25" s="9"/>
      <c r="M25" s="7"/>
      <c r="N25" s="8"/>
      <c r="O25" s="20" t="str">
        <f t="shared" ca="1" si="0"/>
        <v>未着手</v>
      </c>
    </row>
    <row r="26" spans="2:15" ht="21.95" customHeight="1" x14ac:dyDescent="0.15">
      <c r="B26" s="19" t="s">
        <v>74</v>
      </c>
      <c r="C26" s="8"/>
      <c r="D26" s="8" t="s">
        <v>55</v>
      </c>
      <c r="E26" s="8" t="s">
        <v>57</v>
      </c>
      <c r="F26" s="7"/>
      <c r="G26" s="9"/>
      <c r="H26" s="9"/>
      <c r="I26" s="10"/>
      <c r="J26" s="11">
        <v>0</v>
      </c>
      <c r="K26" s="9"/>
      <c r="L26" s="9"/>
      <c r="M26" s="7" t="s">
        <v>37</v>
      </c>
      <c r="N26" s="8" t="s">
        <v>39</v>
      </c>
      <c r="O26" s="20" t="str">
        <f t="shared" ca="1" si="0"/>
        <v>未着手</v>
      </c>
    </row>
    <row r="27" spans="2:15" ht="24" customHeight="1" thickBot="1" x14ac:dyDescent="0.2">
      <c r="B27" s="17" t="s">
        <v>40</v>
      </c>
      <c r="C27" s="3" t="s">
        <v>89</v>
      </c>
      <c r="D27" s="3"/>
      <c r="E27" s="3"/>
      <c r="F27" s="2"/>
      <c r="G27" s="4">
        <f>MIN(G28:G59)</f>
        <v>46279</v>
      </c>
      <c r="H27" s="12">
        <f>MAX(H28:H59)</f>
        <v>46295</v>
      </c>
      <c r="I27" s="5">
        <f>SUM(I28:I59)</f>
        <v>10</v>
      </c>
      <c r="J27" s="6">
        <f>AVERAGE(J28:J59)</f>
        <v>0</v>
      </c>
      <c r="K27" s="4"/>
      <c r="L27" s="4"/>
      <c r="M27" s="2"/>
      <c r="N27" s="3"/>
      <c r="O27" s="18" t="str">
        <f t="shared" ca="1" si="0"/>
        <v>未着手</v>
      </c>
    </row>
    <row r="28" spans="2:15" ht="21.95" customHeight="1" x14ac:dyDescent="0.15">
      <c r="B28" s="19" t="s">
        <v>41</v>
      </c>
      <c r="C28" s="8"/>
      <c r="D28" s="8" t="s">
        <v>42</v>
      </c>
      <c r="E28" s="8" t="s">
        <v>43</v>
      </c>
      <c r="F28" s="7"/>
      <c r="G28" s="9">
        <v>46279</v>
      </c>
      <c r="H28" s="9">
        <v>46295</v>
      </c>
      <c r="I28" s="10">
        <v>10</v>
      </c>
      <c r="J28" s="11">
        <v>0</v>
      </c>
      <c r="K28" s="9"/>
      <c r="L28" s="9"/>
      <c r="M28" s="7" t="s">
        <v>33</v>
      </c>
      <c r="N28" s="8" t="s">
        <v>44</v>
      </c>
      <c r="O28" s="20" t="str">
        <f t="shared" ca="1" si="0"/>
        <v>未着手</v>
      </c>
    </row>
    <row r="29" spans="2:15" ht="21.95" customHeight="1" x14ac:dyDescent="0.15">
      <c r="B29" s="19" t="s">
        <v>45</v>
      </c>
      <c r="C29" s="8" t="s">
        <v>104</v>
      </c>
      <c r="D29" s="8" t="s">
        <v>87</v>
      </c>
      <c r="E29" s="8" t="s">
        <v>56</v>
      </c>
      <c r="F29" s="7"/>
      <c r="G29" s="9"/>
      <c r="H29" s="9"/>
      <c r="I29" s="10"/>
      <c r="J29" s="11">
        <v>0</v>
      </c>
      <c r="K29" s="9"/>
      <c r="L29" s="9"/>
      <c r="M29" s="7"/>
      <c r="N29" s="8" t="s">
        <v>46</v>
      </c>
      <c r="O29" s="20" t="str">
        <f t="shared" ca="1" si="0"/>
        <v>未着手</v>
      </c>
    </row>
    <row r="30" spans="2:15" ht="21.95" customHeight="1" x14ac:dyDescent="0.15">
      <c r="B30" s="19" t="s">
        <v>47</v>
      </c>
      <c r="C30" s="8"/>
      <c r="D30" s="8" t="s">
        <v>87</v>
      </c>
      <c r="E30" s="8" t="s">
        <v>88</v>
      </c>
      <c r="F30" s="7"/>
      <c r="G30" s="9"/>
      <c r="H30" s="9"/>
      <c r="I30" s="10"/>
      <c r="J30" s="11">
        <v>0</v>
      </c>
      <c r="K30" s="9"/>
      <c r="L30" s="9"/>
      <c r="M30" s="7"/>
      <c r="N30" s="8"/>
      <c r="O30" s="20" t="str">
        <f t="shared" ca="1" si="0"/>
        <v>未着手</v>
      </c>
    </row>
    <row r="31" spans="2:15" ht="21.95" customHeight="1" x14ac:dyDescent="0.15">
      <c r="B31" s="19" t="s">
        <v>75</v>
      </c>
      <c r="C31" s="8"/>
      <c r="D31" s="8" t="s">
        <v>92</v>
      </c>
      <c r="E31" s="8" t="s">
        <v>56</v>
      </c>
      <c r="F31" s="7"/>
      <c r="G31" s="9"/>
      <c r="H31" s="9"/>
      <c r="I31" s="10"/>
      <c r="J31" s="11">
        <v>0</v>
      </c>
      <c r="K31" s="9"/>
      <c r="L31" s="9"/>
      <c r="M31" s="7"/>
      <c r="N31" s="8"/>
      <c r="O31" s="20" t="str">
        <f t="shared" ca="1" si="0"/>
        <v>未着手</v>
      </c>
    </row>
    <row r="32" spans="2:15" ht="21.95" customHeight="1" x14ac:dyDescent="0.15">
      <c r="B32" s="19" t="s">
        <v>76</v>
      </c>
      <c r="C32" s="8"/>
      <c r="D32" s="8" t="s">
        <v>92</v>
      </c>
      <c r="E32" s="8" t="s">
        <v>88</v>
      </c>
      <c r="F32" s="7"/>
      <c r="G32" s="9"/>
      <c r="H32" s="9"/>
      <c r="I32" s="10"/>
      <c r="J32" s="11">
        <v>0</v>
      </c>
      <c r="K32" s="9"/>
      <c r="L32" s="9"/>
      <c r="M32" s="7"/>
      <c r="N32" s="8"/>
      <c r="O32" s="20" t="str">
        <f t="shared" ca="1" si="0"/>
        <v>未着手</v>
      </c>
    </row>
    <row r="33" spans="2:15" ht="21.95" customHeight="1" x14ac:dyDescent="0.15">
      <c r="B33" s="19" t="s">
        <v>77</v>
      </c>
      <c r="C33" s="8"/>
      <c r="D33" s="8" t="s">
        <v>93</v>
      </c>
      <c r="E33" s="8" t="s">
        <v>56</v>
      </c>
      <c r="F33" s="7"/>
      <c r="G33" s="9"/>
      <c r="H33" s="9"/>
      <c r="I33" s="10"/>
      <c r="J33" s="11">
        <v>0</v>
      </c>
      <c r="K33" s="9"/>
      <c r="L33" s="9"/>
      <c r="M33" s="7"/>
      <c r="N33" s="8"/>
      <c r="O33" s="20" t="str">
        <f t="shared" ca="1" si="0"/>
        <v>未着手</v>
      </c>
    </row>
    <row r="34" spans="2:15" ht="21.95" customHeight="1" x14ac:dyDescent="0.15">
      <c r="B34" s="19" t="s">
        <v>78</v>
      </c>
      <c r="C34" s="8"/>
      <c r="D34" s="8" t="s">
        <v>93</v>
      </c>
      <c r="E34" s="8" t="s">
        <v>88</v>
      </c>
      <c r="F34" s="7"/>
      <c r="G34" s="9"/>
      <c r="H34" s="9"/>
      <c r="I34" s="10"/>
      <c r="J34" s="11">
        <v>0</v>
      </c>
      <c r="K34" s="9"/>
      <c r="L34" s="9"/>
      <c r="M34" s="7"/>
      <c r="N34" s="8"/>
      <c r="O34" s="20" t="str">
        <f t="shared" ca="1" si="0"/>
        <v>未着手</v>
      </c>
    </row>
    <row r="35" spans="2:15" ht="21.95" customHeight="1" x14ac:dyDescent="0.15">
      <c r="B35" s="19" t="s">
        <v>79</v>
      </c>
      <c r="C35" s="8"/>
      <c r="D35" s="8" t="s">
        <v>94</v>
      </c>
      <c r="E35" s="8" t="s">
        <v>56</v>
      </c>
      <c r="F35" s="7"/>
      <c r="G35" s="9"/>
      <c r="H35" s="9"/>
      <c r="I35" s="10"/>
      <c r="J35" s="11">
        <v>0</v>
      </c>
      <c r="K35" s="9"/>
      <c r="L35" s="9"/>
      <c r="M35" s="7"/>
      <c r="N35" s="8"/>
      <c r="O35" s="20" t="str">
        <f t="shared" ca="1" si="0"/>
        <v>未着手</v>
      </c>
    </row>
    <row r="36" spans="2:15" ht="21.95" customHeight="1" x14ac:dyDescent="0.15">
      <c r="B36" s="19" t="s">
        <v>80</v>
      </c>
      <c r="C36" s="8"/>
      <c r="D36" s="8" t="s">
        <v>94</v>
      </c>
      <c r="E36" s="8" t="s">
        <v>88</v>
      </c>
      <c r="F36" s="7"/>
      <c r="G36" s="9"/>
      <c r="H36" s="9"/>
      <c r="I36" s="10"/>
      <c r="J36" s="11">
        <v>0</v>
      </c>
      <c r="K36" s="9"/>
      <c r="L36" s="9"/>
      <c r="M36" s="7"/>
      <c r="N36" s="8"/>
      <c r="O36" s="20" t="str">
        <f t="shared" ca="1" si="0"/>
        <v>未着手</v>
      </c>
    </row>
    <row r="37" spans="2:15" ht="21.95" customHeight="1" x14ac:dyDescent="0.15">
      <c r="B37" s="19" t="s">
        <v>81</v>
      </c>
      <c r="C37" s="8"/>
      <c r="D37" s="8" t="s">
        <v>95</v>
      </c>
      <c r="E37" s="8" t="s">
        <v>56</v>
      </c>
      <c r="F37" s="7"/>
      <c r="G37" s="9"/>
      <c r="H37" s="9"/>
      <c r="I37" s="10"/>
      <c r="J37" s="11">
        <v>0</v>
      </c>
      <c r="K37" s="9"/>
      <c r="L37" s="9"/>
      <c r="M37" s="7"/>
      <c r="N37" s="8" t="s">
        <v>46</v>
      </c>
      <c r="O37" s="20" t="str">
        <f t="shared" ca="1" si="0"/>
        <v>未着手</v>
      </c>
    </row>
    <row r="38" spans="2:15" ht="21.95" customHeight="1" x14ac:dyDescent="0.15">
      <c r="B38" s="19" t="s">
        <v>82</v>
      </c>
      <c r="C38" s="8"/>
      <c r="D38" s="8" t="s">
        <v>95</v>
      </c>
      <c r="E38" s="8" t="s">
        <v>88</v>
      </c>
      <c r="F38" s="7"/>
      <c r="G38" s="9"/>
      <c r="H38" s="9"/>
      <c r="I38" s="10"/>
      <c r="J38" s="11">
        <v>0</v>
      </c>
      <c r="K38" s="9"/>
      <c r="L38" s="9"/>
      <c r="M38" s="7"/>
      <c r="N38" s="8"/>
      <c r="O38" s="20" t="str">
        <f t="shared" ca="1" si="0"/>
        <v>未着手</v>
      </c>
    </row>
    <row r="39" spans="2:15" ht="21.95" customHeight="1" x14ac:dyDescent="0.15">
      <c r="B39" s="19" t="s">
        <v>96</v>
      </c>
      <c r="C39" s="8" t="s">
        <v>105</v>
      </c>
      <c r="D39" s="8" t="s">
        <v>87</v>
      </c>
      <c r="E39" s="8" t="s">
        <v>56</v>
      </c>
      <c r="F39" s="7"/>
      <c r="G39" s="9"/>
      <c r="H39" s="9"/>
      <c r="I39" s="10"/>
      <c r="J39" s="11">
        <v>0</v>
      </c>
      <c r="K39" s="9"/>
      <c r="L39" s="9"/>
      <c r="M39" s="7"/>
      <c r="N39" s="8" t="s">
        <v>46</v>
      </c>
      <c r="O39" s="20" t="str">
        <f t="shared" ca="1" si="0"/>
        <v>未着手</v>
      </c>
    </row>
    <row r="40" spans="2:15" ht="21.95" customHeight="1" x14ac:dyDescent="0.15">
      <c r="B40" s="19" t="s">
        <v>97</v>
      </c>
      <c r="C40" s="8"/>
      <c r="D40" s="8" t="s">
        <v>87</v>
      </c>
      <c r="E40" s="8" t="s">
        <v>88</v>
      </c>
      <c r="F40" s="7"/>
      <c r="G40" s="9"/>
      <c r="H40" s="9"/>
      <c r="I40" s="10"/>
      <c r="J40" s="11">
        <v>0</v>
      </c>
      <c r="K40" s="9"/>
      <c r="L40" s="9"/>
      <c r="M40" s="7"/>
      <c r="N40" s="8"/>
      <c r="O40" s="20" t="str">
        <f t="shared" ca="1" si="0"/>
        <v>未着手</v>
      </c>
    </row>
    <row r="41" spans="2:15" ht="21.95" customHeight="1" x14ac:dyDescent="0.15">
      <c r="B41" s="19" t="s">
        <v>98</v>
      </c>
      <c r="C41" s="8"/>
      <c r="D41" s="8" t="s">
        <v>92</v>
      </c>
      <c r="E41" s="8" t="s">
        <v>56</v>
      </c>
      <c r="F41" s="7"/>
      <c r="G41" s="9"/>
      <c r="H41" s="9"/>
      <c r="I41" s="10"/>
      <c r="J41" s="11">
        <v>0</v>
      </c>
      <c r="K41" s="9"/>
      <c r="L41" s="9"/>
      <c r="M41" s="7"/>
      <c r="N41" s="8"/>
      <c r="O41" s="20" t="str">
        <f t="shared" ca="1" si="0"/>
        <v>未着手</v>
      </c>
    </row>
    <row r="42" spans="2:15" ht="21.95" customHeight="1" x14ac:dyDescent="0.15">
      <c r="B42" s="19" t="s">
        <v>99</v>
      </c>
      <c r="C42" s="8"/>
      <c r="D42" s="8" t="s">
        <v>92</v>
      </c>
      <c r="E42" s="8" t="s">
        <v>88</v>
      </c>
      <c r="F42" s="7"/>
      <c r="G42" s="9"/>
      <c r="H42" s="9"/>
      <c r="I42" s="10"/>
      <c r="J42" s="11">
        <v>0</v>
      </c>
      <c r="K42" s="9"/>
      <c r="L42" s="9"/>
      <c r="M42" s="7"/>
      <c r="N42" s="8"/>
      <c r="O42" s="20" t="str">
        <f t="shared" ca="1" si="0"/>
        <v>未着手</v>
      </c>
    </row>
    <row r="43" spans="2:15" ht="21.95" customHeight="1" x14ac:dyDescent="0.15">
      <c r="B43" s="19" t="s">
        <v>100</v>
      </c>
      <c r="C43" s="8"/>
      <c r="D43" s="8" t="s">
        <v>93</v>
      </c>
      <c r="E43" s="8" t="s">
        <v>56</v>
      </c>
      <c r="F43" s="7"/>
      <c r="G43" s="9"/>
      <c r="H43" s="9"/>
      <c r="I43" s="10"/>
      <c r="J43" s="11">
        <v>0</v>
      </c>
      <c r="K43" s="9"/>
      <c r="L43" s="9"/>
      <c r="M43" s="7"/>
      <c r="N43" s="8"/>
      <c r="O43" s="20" t="str">
        <f t="shared" ca="1" si="0"/>
        <v>未着手</v>
      </c>
    </row>
    <row r="44" spans="2:15" ht="21.95" customHeight="1" x14ac:dyDescent="0.15">
      <c r="B44" s="19" t="s">
        <v>101</v>
      </c>
      <c r="C44" s="8"/>
      <c r="D44" s="8" t="s">
        <v>93</v>
      </c>
      <c r="E44" s="8" t="s">
        <v>88</v>
      </c>
      <c r="F44" s="7"/>
      <c r="G44" s="9"/>
      <c r="H44" s="9"/>
      <c r="I44" s="10"/>
      <c r="J44" s="11">
        <v>0</v>
      </c>
      <c r="K44" s="9"/>
      <c r="L44" s="9"/>
      <c r="M44" s="7"/>
      <c r="N44" s="8"/>
      <c r="O44" s="20" t="str">
        <f t="shared" ca="1" si="0"/>
        <v>未着手</v>
      </c>
    </row>
    <row r="45" spans="2:15" ht="21.95" customHeight="1" x14ac:dyDescent="0.15">
      <c r="B45" s="19" t="s">
        <v>102</v>
      </c>
      <c r="C45" s="8"/>
      <c r="D45" s="8" t="s">
        <v>94</v>
      </c>
      <c r="E45" s="8" t="s">
        <v>56</v>
      </c>
      <c r="F45" s="7"/>
      <c r="G45" s="9"/>
      <c r="H45" s="9"/>
      <c r="I45" s="10"/>
      <c r="J45" s="11">
        <v>0</v>
      </c>
      <c r="K45" s="9"/>
      <c r="L45" s="9"/>
      <c r="M45" s="7"/>
      <c r="N45" s="8"/>
      <c r="O45" s="20" t="str">
        <f t="shared" ca="1" si="0"/>
        <v>未着手</v>
      </c>
    </row>
    <row r="46" spans="2:15" ht="21.95" customHeight="1" x14ac:dyDescent="0.15">
      <c r="B46" s="19" t="s">
        <v>103</v>
      </c>
      <c r="C46" s="8"/>
      <c r="D46" s="8" t="s">
        <v>94</v>
      </c>
      <c r="E46" s="8" t="s">
        <v>88</v>
      </c>
      <c r="F46" s="7"/>
      <c r="G46" s="9"/>
      <c r="H46" s="9"/>
      <c r="I46" s="10"/>
      <c r="J46" s="11">
        <v>0</v>
      </c>
      <c r="K46" s="9"/>
      <c r="L46" s="9"/>
      <c r="M46" s="7"/>
      <c r="N46" s="8"/>
      <c r="O46" s="20" t="str">
        <f t="shared" ca="1" si="0"/>
        <v>未着手</v>
      </c>
    </row>
    <row r="47" spans="2:15" ht="21.95" customHeight="1" x14ac:dyDescent="0.15">
      <c r="B47" s="19" t="s">
        <v>106</v>
      </c>
      <c r="C47" s="8"/>
      <c r="D47" s="8" t="s">
        <v>95</v>
      </c>
      <c r="E47" s="8" t="s">
        <v>56</v>
      </c>
      <c r="F47" s="7"/>
      <c r="G47" s="9"/>
      <c r="H47" s="9"/>
      <c r="I47" s="10"/>
      <c r="J47" s="11">
        <v>0</v>
      </c>
      <c r="K47" s="9"/>
      <c r="L47" s="9"/>
      <c r="M47" s="7"/>
      <c r="N47" s="8" t="s">
        <v>46</v>
      </c>
      <c r="O47" s="20" t="str">
        <f t="shared" ca="1" si="0"/>
        <v>未着手</v>
      </c>
    </row>
    <row r="48" spans="2:15" ht="21.95" customHeight="1" x14ac:dyDescent="0.15">
      <c r="B48" s="19" t="s">
        <v>107</v>
      </c>
      <c r="C48" s="8"/>
      <c r="D48" s="8" t="s">
        <v>95</v>
      </c>
      <c r="E48" s="8" t="s">
        <v>88</v>
      </c>
      <c r="F48" s="7"/>
      <c r="G48" s="9"/>
      <c r="H48" s="9"/>
      <c r="I48" s="10"/>
      <c r="J48" s="11">
        <v>0</v>
      </c>
      <c r="K48" s="9"/>
      <c r="L48" s="9"/>
      <c r="M48" s="7"/>
      <c r="N48" s="8"/>
      <c r="O48" s="20" t="str">
        <f t="shared" ca="1" si="0"/>
        <v>未着手</v>
      </c>
    </row>
    <row r="49" spans="2:15" ht="21.95" customHeight="1" x14ac:dyDescent="0.15">
      <c r="B49" s="19" t="s">
        <v>108</v>
      </c>
      <c r="C49" s="8"/>
      <c r="D49" s="8"/>
      <c r="E49" s="8"/>
      <c r="F49" s="7"/>
      <c r="G49" s="9"/>
      <c r="H49" s="9"/>
      <c r="I49" s="10"/>
      <c r="J49" s="11">
        <v>0</v>
      </c>
      <c r="K49" s="9"/>
      <c r="L49" s="9"/>
      <c r="M49" s="7"/>
      <c r="N49" s="8"/>
      <c r="O49" s="20" t="str">
        <f t="shared" ca="1" si="0"/>
        <v>未着手</v>
      </c>
    </row>
    <row r="50" spans="2:15" ht="21.95" customHeight="1" x14ac:dyDescent="0.15">
      <c r="B50" s="19" t="s">
        <v>109</v>
      </c>
      <c r="C50" s="8"/>
      <c r="D50" s="8"/>
      <c r="E50" s="8"/>
      <c r="F50" s="7"/>
      <c r="G50" s="9"/>
      <c r="H50" s="9"/>
      <c r="I50" s="10"/>
      <c r="J50" s="11">
        <v>0</v>
      </c>
      <c r="K50" s="9"/>
      <c r="L50" s="9"/>
      <c r="M50" s="7"/>
      <c r="N50" s="8"/>
      <c r="O50" s="20" t="str">
        <f t="shared" ca="1" si="0"/>
        <v>未着手</v>
      </c>
    </row>
    <row r="51" spans="2:15" ht="21.95" customHeight="1" x14ac:dyDescent="0.15">
      <c r="B51" s="19" t="s">
        <v>110</v>
      </c>
      <c r="C51" s="8"/>
      <c r="D51" s="8"/>
      <c r="E51" s="8"/>
      <c r="F51" s="7"/>
      <c r="G51" s="9"/>
      <c r="H51" s="9"/>
      <c r="I51" s="10"/>
      <c r="J51" s="11">
        <v>0</v>
      </c>
      <c r="K51" s="9"/>
      <c r="L51" s="9"/>
      <c r="M51" s="7"/>
      <c r="N51" s="8"/>
      <c r="O51" s="20" t="str">
        <f t="shared" ca="1" si="0"/>
        <v>未着手</v>
      </c>
    </row>
    <row r="52" spans="2:15" ht="21.95" customHeight="1" x14ac:dyDescent="0.15">
      <c r="B52" s="19" t="s">
        <v>111</v>
      </c>
      <c r="C52" s="8"/>
      <c r="D52" s="8"/>
      <c r="E52" s="8"/>
      <c r="F52" s="7"/>
      <c r="G52" s="9"/>
      <c r="H52" s="9"/>
      <c r="I52" s="10"/>
      <c r="J52" s="11">
        <v>0</v>
      </c>
      <c r="K52" s="9"/>
      <c r="L52" s="9"/>
      <c r="M52" s="7"/>
      <c r="N52" s="8"/>
      <c r="O52" s="20" t="str">
        <f t="shared" ca="1" si="0"/>
        <v>未着手</v>
      </c>
    </row>
    <row r="53" spans="2:15" ht="21.95" customHeight="1" x14ac:dyDescent="0.15">
      <c r="B53" s="19" t="s">
        <v>112</v>
      </c>
      <c r="C53" s="8"/>
      <c r="D53" s="8"/>
      <c r="E53" s="8"/>
      <c r="F53" s="7"/>
      <c r="G53" s="9"/>
      <c r="H53" s="9"/>
      <c r="I53" s="10"/>
      <c r="J53" s="11">
        <v>0</v>
      </c>
      <c r="K53" s="9"/>
      <c r="L53" s="9"/>
      <c r="M53" s="7"/>
      <c r="N53" s="8"/>
      <c r="O53" s="20" t="str">
        <f t="shared" ca="1" si="0"/>
        <v>未着手</v>
      </c>
    </row>
    <row r="54" spans="2:15" ht="21.95" customHeight="1" x14ac:dyDescent="0.15">
      <c r="B54" s="19" t="s">
        <v>113</v>
      </c>
      <c r="C54" s="8"/>
      <c r="D54" s="8"/>
      <c r="E54" s="8"/>
      <c r="F54" s="7"/>
      <c r="G54" s="9"/>
      <c r="H54" s="9"/>
      <c r="I54" s="10"/>
      <c r="J54" s="11">
        <v>0</v>
      </c>
      <c r="K54" s="9"/>
      <c r="L54" s="9"/>
      <c r="M54" s="7"/>
      <c r="N54" s="8"/>
      <c r="O54" s="20" t="str">
        <f t="shared" ca="1" si="0"/>
        <v>未着手</v>
      </c>
    </row>
    <row r="55" spans="2:15" ht="21.95" customHeight="1" x14ac:dyDescent="0.15">
      <c r="B55" s="19" t="s">
        <v>114</v>
      </c>
      <c r="C55" s="8"/>
      <c r="D55" s="8"/>
      <c r="E55" s="8"/>
      <c r="F55" s="7"/>
      <c r="G55" s="9"/>
      <c r="H55" s="9"/>
      <c r="I55" s="10"/>
      <c r="J55" s="11">
        <v>0</v>
      </c>
      <c r="K55" s="9"/>
      <c r="L55" s="9"/>
      <c r="M55" s="7"/>
      <c r="N55" s="8"/>
      <c r="O55" s="20" t="str">
        <f t="shared" ca="1" si="0"/>
        <v>未着手</v>
      </c>
    </row>
    <row r="56" spans="2:15" ht="21.95" customHeight="1" x14ac:dyDescent="0.15">
      <c r="B56" s="19" t="s">
        <v>115</v>
      </c>
      <c r="C56" s="8"/>
      <c r="D56" s="8"/>
      <c r="E56" s="8"/>
      <c r="F56" s="7"/>
      <c r="G56" s="9"/>
      <c r="H56" s="9"/>
      <c r="I56" s="10"/>
      <c r="J56" s="11">
        <v>0</v>
      </c>
      <c r="K56" s="9"/>
      <c r="L56" s="9"/>
      <c r="M56" s="7"/>
      <c r="N56" s="8"/>
      <c r="O56" s="20" t="str">
        <f t="shared" ca="1" si="0"/>
        <v>未着手</v>
      </c>
    </row>
    <row r="57" spans="2:15" ht="21.95" customHeight="1" x14ac:dyDescent="0.15">
      <c r="B57" s="19" t="s">
        <v>118</v>
      </c>
      <c r="C57" s="8"/>
      <c r="D57" s="8"/>
      <c r="E57" s="8"/>
      <c r="F57" s="7"/>
      <c r="G57" s="9"/>
      <c r="H57" s="9"/>
      <c r="I57" s="10"/>
      <c r="J57" s="11">
        <v>0</v>
      </c>
      <c r="K57" s="9"/>
      <c r="L57" s="9"/>
      <c r="M57" s="7"/>
      <c r="N57" s="8"/>
      <c r="O57" s="20" t="str">
        <f t="shared" ca="1" si="0"/>
        <v>未着手</v>
      </c>
    </row>
    <row r="58" spans="2:15" ht="21.95" customHeight="1" x14ac:dyDescent="0.15">
      <c r="B58" s="19" t="s">
        <v>119</v>
      </c>
      <c r="C58" s="8"/>
      <c r="D58" s="8"/>
      <c r="E58" s="8"/>
      <c r="F58" s="7"/>
      <c r="G58" s="9"/>
      <c r="H58" s="9"/>
      <c r="I58" s="10"/>
      <c r="J58" s="11">
        <v>0</v>
      </c>
      <c r="K58" s="9"/>
      <c r="L58" s="9"/>
      <c r="M58" s="7"/>
      <c r="N58" s="8"/>
      <c r="O58" s="20" t="str">
        <f t="shared" ca="1" si="0"/>
        <v>未着手</v>
      </c>
    </row>
    <row r="59" spans="2:15" ht="21.95" customHeight="1" x14ac:dyDescent="0.15">
      <c r="B59" s="19" t="s">
        <v>120</v>
      </c>
      <c r="C59" s="8"/>
      <c r="D59" s="8" t="s">
        <v>55</v>
      </c>
      <c r="E59" s="8"/>
      <c r="F59" s="7"/>
      <c r="G59" s="9"/>
      <c r="H59" s="9"/>
      <c r="I59" s="10"/>
      <c r="J59" s="11">
        <v>0</v>
      </c>
      <c r="K59" s="9"/>
      <c r="L59" s="9"/>
      <c r="M59" s="7" t="s">
        <v>37</v>
      </c>
      <c r="N59" s="8" t="s">
        <v>39</v>
      </c>
      <c r="O59" s="20" t="str">
        <f t="shared" ca="1" si="0"/>
        <v>未着手</v>
      </c>
    </row>
    <row r="60" spans="2:15" ht="24" customHeight="1" thickBot="1" x14ac:dyDescent="0.2">
      <c r="B60" s="17" t="s">
        <v>48</v>
      </c>
      <c r="C60" s="3" t="s">
        <v>90</v>
      </c>
      <c r="D60" s="3"/>
      <c r="E60" s="3"/>
      <c r="F60" s="2"/>
      <c r="G60" s="4">
        <f>MIN(G61:G74)</f>
        <v>0</v>
      </c>
      <c r="H60" s="12">
        <f>MAX(H61:H74)</f>
        <v>0</v>
      </c>
      <c r="I60" s="5">
        <f>SUM(I61:I74)</f>
        <v>0</v>
      </c>
      <c r="J60" s="6">
        <f ca="1">AVERAGE(J60:J74)</f>
        <v>0</v>
      </c>
      <c r="K60" s="4"/>
      <c r="L60" s="4"/>
      <c r="M60" s="2" t="s">
        <v>40</v>
      </c>
      <c r="N60" s="3" t="s">
        <v>49</v>
      </c>
      <c r="O60" s="18" t="str">
        <f t="shared" ca="1" si="0"/>
        <v>未着手</v>
      </c>
    </row>
    <row r="61" spans="2:15" ht="21.95" customHeight="1" x14ac:dyDescent="0.15">
      <c r="B61" s="19">
        <v>4.0999999999999996</v>
      </c>
      <c r="C61" s="8"/>
      <c r="D61" s="8"/>
      <c r="E61" s="8"/>
      <c r="F61" s="7"/>
      <c r="G61" s="9"/>
      <c r="H61" s="9"/>
      <c r="I61" s="10"/>
      <c r="J61" s="11">
        <v>0</v>
      </c>
      <c r="K61" s="9"/>
      <c r="L61" s="9"/>
      <c r="M61" s="7">
        <v>2.2000000000000002</v>
      </c>
      <c r="N61" s="8" t="s">
        <v>36</v>
      </c>
      <c r="O61" s="20" t="str">
        <f t="shared" ca="1" si="0"/>
        <v>未着手</v>
      </c>
    </row>
    <row r="62" spans="2:15" ht="21.95" customHeight="1" x14ac:dyDescent="0.15">
      <c r="B62" s="19">
        <v>4.2</v>
      </c>
      <c r="C62" s="8" t="s">
        <v>104</v>
      </c>
      <c r="D62" s="8"/>
      <c r="E62" s="8"/>
      <c r="F62" s="7"/>
      <c r="G62" s="9"/>
      <c r="H62" s="9"/>
      <c r="I62" s="10"/>
      <c r="J62" s="11">
        <v>0</v>
      </c>
      <c r="K62" s="9"/>
      <c r="L62" s="9"/>
      <c r="M62" s="7"/>
      <c r="N62" s="8"/>
      <c r="O62" s="20" t="str">
        <f t="shared" ca="1" si="0"/>
        <v>未着手</v>
      </c>
    </row>
    <row r="63" spans="2:15" ht="21.95" customHeight="1" x14ac:dyDescent="0.15">
      <c r="B63" s="19">
        <v>4.3</v>
      </c>
      <c r="C63" s="8"/>
      <c r="D63" s="8"/>
      <c r="E63" s="8"/>
      <c r="F63" s="7"/>
      <c r="G63" s="9"/>
      <c r="H63" s="9"/>
      <c r="I63" s="10"/>
      <c r="J63" s="11">
        <v>0</v>
      </c>
      <c r="K63" s="9"/>
      <c r="L63" s="9"/>
      <c r="M63" s="7"/>
      <c r="N63" s="8"/>
      <c r="O63" s="20" t="str">
        <f t="shared" ca="1" si="0"/>
        <v>未着手</v>
      </c>
    </row>
    <row r="64" spans="2:15" ht="21.95" customHeight="1" x14ac:dyDescent="0.15">
      <c r="B64" s="19">
        <v>4.4000000000000004</v>
      </c>
      <c r="C64" s="8"/>
      <c r="D64" s="8"/>
      <c r="E64" s="8"/>
      <c r="F64" s="7"/>
      <c r="G64" s="9"/>
      <c r="H64" s="9"/>
      <c r="I64" s="10"/>
      <c r="J64" s="11">
        <v>0</v>
      </c>
      <c r="K64" s="9"/>
      <c r="L64" s="9"/>
      <c r="M64" s="7"/>
      <c r="N64" s="8"/>
      <c r="O64" s="20" t="str">
        <f t="shared" ca="1" si="0"/>
        <v>未着手</v>
      </c>
    </row>
    <row r="65" spans="2:15" ht="21.95" customHeight="1" x14ac:dyDescent="0.15">
      <c r="B65" s="19">
        <v>4.5</v>
      </c>
      <c r="C65" s="8"/>
      <c r="D65" s="8"/>
      <c r="E65" s="8"/>
      <c r="F65" s="7"/>
      <c r="G65" s="9"/>
      <c r="H65" s="9"/>
      <c r="I65" s="10"/>
      <c r="J65" s="11">
        <v>0</v>
      </c>
      <c r="K65" s="9"/>
      <c r="L65" s="9"/>
      <c r="M65" s="7"/>
      <c r="N65" s="8"/>
      <c r="O65" s="20" t="str">
        <f t="shared" ca="1" si="0"/>
        <v>未着手</v>
      </c>
    </row>
    <row r="66" spans="2:15" ht="21.95" customHeight="1" x14ac:dyDescent="0.15">
      <c r="B66" s="19">
        <v>4.5999999999999996</v>
      </c>
      <c r="C66" s="8"/>
      <c r="D66" s="8"/>
      <c r="E66" s="8"/>
      <c r="F66" s="7"/>
      <c r="G66" s="9"/>
      <c r="H66" s="9"/>
      <c r="I66" s="10"/>
      <c r="J66" s="11">
        <v>0</v>
      </c>
      <c r="K66" s="9"/>
      <c r="L66" s="9"/>
      <c r="M66" s="7"/>
      <c r="N66" s="8"/>
      <c r="O66" s="20" t="str">
        <f t="shared" ca="1" si="0"/>
        <v>未着手</v>
      </c>
    </row>
    <row r="67" spans="2:15" ht="21.95" customHeight="1" x14ac:dyDescent="0.15">
      <c r="B67" s="19">
        <v>4.7</v>
      </c>
      <c r="C67" s="8"/>
      <c r="D67" s="8"/>
      <c r="E67" s="8"/>
      <c r="F67" s="7"/>
      <c r="G67" s="9"/>
      <c r="H67" s="9"/>
      <c r="I67" s="10"/>
      <c r="J67" s="11">
        <v>0</v>
      </c>
      <c r="K67" s="9"/>
      <c r="L67" s="9"/>
      <c r="M67" s="7"/>
      <c r="N67" s="8"/>
      <c r="O67" s="20" t="str">
        <f t="shared" ca="1" si="0"/>
        <v>未着手</v>
      </c>
    </row>
    <row r="68" spans="2:15" ht="21.95" customHeight="1" x14ac:dyDescent="0.15">
      <c r="B68" s="19">
        <v>4.8</v>
      </c>
      <c r="C68" s="8" t="s">
        <v>105</v>
      </c>
      <c r="D68" s="8"/>
      <c r="E68" s="8"/>
      <c r="F68" s="7"/>
      <c r="G68" s="9"/>
      <c r="H68" s="9"/>
      <c r="I68" s="10"/>
      <c r="J68" s="11">
        <v>0</v>
      </c>
      <c r="K68" s="9"/>
      <c r="L68" s="9"/>
      <c r="M68" s="7"/>
      <c r="N68" s="8"/>
      <c r="O68" s="20" t="str">
        <f t="shared" ca="1" si="0"/>
        <v>未着手</v>
      </c>
    </row>
    <row r="69" spans="2:15" ht="21.95" customHeight="1" x14ac:dyDescent="0.15">
      <c r="B69" s="19">
        <v>4.9000000000000004</v>
      </c>
      <c r="C69" s="8"/>
      <c r="D69" s="8"/>
      <c r="E69" s="8"/>
      <c r="F69" s="7"/>
      <c r="G69" s="9"/>
      <c r="H69" s="9"/>
      <c r="I69" s="10"/>
      <c r="J69" s="11">
        <v>0</v>
      </c>
      <c r="K69" s="9"/>
      <c r="L69" s="9"/>
      <c r="M69" s="7"/>
      <c r="N69" s="8"/>
      <c r="O69" s="20" t="str">
        <f t="shared" ca="1" si="0"/>
        <v>未着手</v>
      </c>
    </row>
    <row r="70" spans="2:15" ht="21.95" customHeight="1" x14ac:dyDescent="0.15">
      <c r="B70" s="44">
        <v>4.0999999999999996</v>
      </c>
      <c r="C70" s="8"/>
      <c r="D70" s="8"/>
      <c r="E70" s="8"/>
      <c r="F70" s="7"/>
      <c r="G70" s="9"/>
      <c r="H70" s="9"/>
      <c r="I70" s="10"/>
      <c r="J70" s="11">
        <v>0</v>
      </c>
      <c r="K70" s="9"/>
      <c r="L70" s="9"/>
      <c r="M70" s="7"/>
      <c r="N70" s="8"/>
      <c r="O70" s="20" t="str">
        <f t="shared" ca="1" si="0"/>
        <v>未着手</v>
      </c>
    </row>
    <row r="71" spans="2:15" ht="21.95" customHeight="1" x14ac:dyDescent="0.15">
      <c r="B71" s="19">
        <v>4.1100000000000003</v>
      </c>
      <c r="C71" s="8"/>
      <c r="D71" s="8"/>
      <c r="E71" s="8"/>
      <c r="F71" s="7"/>
      <c r="G71" s="9"/>
      <c r="H71" s="9"/>
      <c r="I71" s="10"/>
      <c r="J71" s="11">
        <v>0</v>
      </c>
      <c r="K71" s="9"/>
      <c r="L71" s="9"/>
      <c r="M71" s="7"/>
      <c r="N71" s="8"/>
      <c r="O71" s="20" t="str">
        <f t="shared" ca="1" si="0"/>
        <v>未着手</v>
      </c>
    </row>
    <row r="72" spans="2:15" ht="21.95" customHeight="1" x14ac:dyDescent="0.15">
      <c r="B72" s="44">
        <v>4.12</v>
      </c>
      <c r="C72" s="8"/>
      <c r="D72" s="8"/>
      <c r="E72" s="8"/>
      <c r="F72" s="7"/>
      <c r="G72" s="9"/>
      <c r="H72" s="9"/>
      <c r="I72" s="10"/>
      <c r="J72" s="11">
        <v>0</v>
      </c>
      <c r="K72" s="9"/>
      <c r="L72" s="9"/>
      <c r="M72" s="7"/>
      <c r="N72" s="8"/>
      <c r="O72" s="20" t="str">
        <f t="shared" ca="1" si="0"/>
        <v>未着手</v>
      </c>
    </row>
    <row r="73" spans="2:15" ht="21.95" customHeight="1" x14ac:dyDescent="0.15">
      <c r="B73" s="19">
        <v>4.13</v>
      </c>
      <c r="C73" s="8"/>
      <c r="D73" s="8"/>
      <c r="E73" s="8"/>
      <c r="F73" s="7"/>
      <c r="G73" s="9"/>
      <c r="H73" s="9"/>
      <c r="I73" s="10"/>
      <c r="J73" s="11">
        <v>0</v>
      </c>
      <c r="K73" s="9"/>
      <c r="L73" s="9"/>
      <c r="M73" s="7"/>
      <c r="N73" s="8"/>
      <c r="O73" s="20" t="str">
        <f t="shared" ca="1" si="0"/>
        <v>未着手</v>
      </c>
    </row>
    <row r="74" spans="2:15" ht="21.95" customHeight="1" x14ac:dyDescent="0.15">
      <c r="B74" s="44">
        <v>4.1399999999999997</v>
      </c>
      <c r="C74" s="8"/>
      <c r="D74" s="8" t="s">
        <v>86</v>
      </c>
      <c r="E74" s="8"/>
      <c r="F74" s="7"/>
      <c r="G74" s="9"/>
      <c r="H74" s="9"/>
      <c r="I74" s="10"/>
      <c r="J74" s="11">
        <v>0</v>
      </c>
      <c r="K74" s="9"/>
      <c r="L74" s="9"/>
      <c r="M74" s="7"/>
      <c r="N74" s="8"/>
      <c r="O74" s="20" t="str">
        <f t="shared" ca="1" si="0"/>
        <v>未着手</v>
      </c>
    </row>
    <row r="75" spans="2:15" ht="24" customHeight="1" thickBot="1" x14ac:dyDescent="0.2">
      <c r="B75" s="17" t="s">
        <v>50</v>
      </c>
      <c r="C75" s="3" t="s">
        <v>91</v>
      </c>
      <c r="D75" s="3"/>
      <c r="E75" s="3"/>
      <c r="F75" s="2"/>
      <c r="G75" s="4">
        <f>MIN(G76:G84)</f>
        <v>0</v>
      </c>
      <c r="H75" s="12">
        <f>MAX(H76:H84)</f>
        <v>0</v>
      </c>
      <c r="I75" s="5">
        <f>SUM(I76:I84)</f>
        <v>0</v>
      </c>
      <c r="J75" s="6">
        <f>AVERAGE(J76:J84)</f>
        <v>0</v>
      </c>
      <c r="K75" s="4"/>
      <c r="L75" s="4"/>
      <c r="M75" s="13">
        <v>5</v>
      </c>
      <c r="N75" s="3" t="s">
        <v>51</v>
      </c>
      <c r="O75" s="18" t="str">
        <f t="shared" ca="1" si="0"/>
        <v>未着手</v>
      </c>
    </row>
    <row r="76" spans="2:15" ht="21.95" customHeight="1" x14ac:dyDescent="0.15">
      <c r="B76" s="19">
        <v>5.0999999999999996</v>
      </c>
      <c r="C76" s="8"/>
      <c r="D76" s="8" t="s">
        <v>54</v>
      </c>
      <c r="E76" s="8"/>
      <c r="F76" s="7"/>
      <c r="G76" s="9"/>
      <c r="H76" s="9"/>
      <c r="I76" s="10"/>
      <c r="J76" s="11">
        <v>0</v>
      </c>
      <c r="K76" s="9"/>
      <c r="L76" s="9"/>
      <c r="M76" s="7">
        <v>2.2000000000000002</v>
      </c>
      <c r="N76" s="8" t="s">
        <v>36</v>
      </c>
      <c r="O76" s="20" t="str">
        <f t="shared" ca="1" si="0"/>
        <v>未着手</v>
      </c>
    </row>
    <row r="77" spans="2:15" ht="21.95" customHeight="1" x14ac:dyDescent="0.15">
      <c r="B77" s="19">
        <v>5.2</v>
      </c>
      <c r="C77" s="8"/>
      <c r="D77" s="8" t="s">
        <v>52</v>
      </c>
      <c r="E77" s="8"/>
      <c r="F77" s="7"/>
      <c r="G77" s="9"/>
      <c r="H77" s="45"/>
      <c r="I77" s="10"/>
      <c r="J77" s="11">
        <v>0</v>
      </c>
      <c r="K77" s="9"/>
      <c r="L77" s="9"/>
      <c r="M77" s="7"/>
      <c r="N77" s="8"/>
      <c r="O77" s="20" t="str">
        <f t="shared" ca="1" si="0"/>
        <v>未着手</v>
      </c>
    </row>
    <row r="78" spans="2:15" ht="21.95" customHeight="1" x14ac:dyDescent="0.15">
      <c r="B78" s="19">
        <v>5.3</v>
      </c>
      <c r="C78" s="8"/>
      <c r="D78" s="8" t="s">
        <v>53</v>
      </c>
      <c r="E78" s="8"/>
      <c r="F78" s="7"/>
      <c r="G78" s="9"/>
      <c r="H78" s="9"/>
      <c r="I78" s="10"/>
      <c r="J78" s="11">
        <v>0</v>
      </c>
      <c r="K78" s="9"/>
      <c r="L78" s="9"/>
      <c r="M78" s="7"/>
      <c r="N78" s="8"/>
      <c r="O78" s="20" t="str">
        <f t="shared" ca="1" si="0"/>
        <v>未着手</v>
      </c>
    </row>
    <row r="79" spans="2:15" ht="21.95" customHeight="1" x14ac:dyDescent="0.15">
      <c r="B79" s="19">
        <v>5.4</v>
      </c>
      <c r="C79" s="8"/>
      <c r="D79" s="8"/>
      <c r="E79" s="8"/>
      <c r="F79" s="7"/>
      <c r="G79" s="9"/>
      <c r="H79" s="9"/>
      <c r="I79" s="10"/>
      <c r="J79" s="11">
        <v>0</v>
      </c>
      <c r="K79" s="9"/>
      <c r="L79" s="9"/>
      <c r="M79" s="7"/>
      <c r="N79" s="8"/>
      <c r="O79" s="20" t="str">
        <f t="shared" ca="1" si="0"/>
        <v>未着手</v>
      </c>
    </row>
    <row r="80" spans="2:15" ht="21.95" customHeight="1" x14ac:dyDescent="0.15">
      <c r="B80" s="19">
        <v>5.5</v>
      </c>
      <c r="C80" s="8"/>
      <c r="D80" s="8"/>
      <c r="E80" s="8"/>
      <c r="F80" s="7"/>
      <c r="G80" s="9"/>
      <c r="H80" s="9"/>
      <c r="I80" s="10"/>
      <c r="J80" s="11">
        <v>0</v>
      </c>
      <c r="K80" s="9"/>
      <c r="L80" s="9"/>
      <c r="M80" s="7"/>
      <c r="N80" s="8"/>
      <c r="O80" s="20" t="str">
        <f t="shared" ca="1" si="0"/>
        <v>未着手</v>
      </c>
    </row>
    <row r="81" spans="2:15" ht="21.95" customHeight="1" x14ac:dyDescent="0.15">
      <c r="B81" s="36">
        <v>5.6</v>
      </c>
      <c r="C81" s="37"/>
      <c r="D81" s="37"/>
      <c r="E81" s="37"/>
      <c r="F81" s="38"/>
      <c r="G81" s="39"/>
      <c r="H81" s="39"/>
      <c r="I81" s="40"/>
      <c r="J81" s="41">
        <v>0</v>
      </c>
      <c r="K81" s="39"/>
      <c r="L81" s="39"/>
      <c r="M81" s="38"/>
      <c r="N81" s="37"/>
      <c r="O81" s="42" t="str">
        <f t="shared" ca="1" si="0"/>
        <v>未着手</v>
      </c>
    </row>
    <row r="82" spans="2:15" ht="21.95" customHeight="1" x14ac:dyDescent="0.15">
      <c r="B82" s="19">
        <v>5.7</v>
      </c>
      <c r="C82" s="8"/>
      <c r="D82" s="8"/>
      <c r="E82" s="8"/>
      <c r="F82" s="7"/>
      <c r="G82" s="9"/>
      <c r="H82" s="9"/>
      <c r="I82" s="10"/>
      <c r="J82" s="11">
        <v>0</v>
      </c>
      <c r="K82" s="9"/>
      <c r="L82" s="9"/>
      <c r="M82" s="7"/>
      <c r="N82" s="8"/>
      <c r="O82" s="20" t="str">
        <f t="shared" ca="1" si="0"/>
        <v>未着手</v>
      </c>
    </row>
    <row r="83" spans="2:15" ht="21.95" customHeight="1" x14ac:dyDescent="0.15">
      <c r="B83" s="19">
        <v>5.8</v>
      </c>
      <c r="C83" s="8"/>
      <c r="D83" s="8"/>
      <c r="E83" s="8"/>
      <c r="F83" s="7"/>
      <c r="G83" s="9"/>
      <c r="H83" s="9"/>
      <c r="I83" s="10"/>
      <c r="J83" s="11">
        <v>0</v>
      </c>
      <c r="K83" s="9"/>
      <c r="L83" s="9"/>
      <c r="M83" s="7"/>
      <c r="N83" s="8"/>
      <c r="O83" s="20" t="str">
        <f t="shared" ca="1" si="0"/>
        <v>未着手</v>
      </c>
    </row>
    <row r="84" spans="2:15" ht="21.95" customHeight="1" x14ac:dyDescent="0.15">
      <c r="B84" s="36">
        <v>5.9</v>
      </c>
      <c r="C84" s="37"/>
      <c r="D84" s="37"/>
      <c r="E84" s="37"/>
      <c r="F84" s="38"/>
      <c r="G84" s="39"/>
      <c r="H84" s="39"/>
      <c r="I84" s="40"/>
      <c r="J84" s="41">
        <v>0</v>
      </c>
      <c r="K84" s="39"/>
      <c r="L84" s="39"/>
      <c r="M84" s="38"/>
      <c r="N84" s="37"/>
      <c r="O84" s="42" t="str">
        <f t="shared" ca="1" si="0"/>
        <v>未着手</v>
      </c>
    </row>
    <row r="85" spans="2:15" ht="24" customHeight="1" thickBot="1" x14ac:dyDescent="0.2">
      <c r="B85" s="27">
        <v>6</v>
      </c>
      <c r="C85" s="28" t="s">
        <v>116</v>
      </c>
      <c r="D85" s="28"/>
      <c r="E85" s="28"/>
      <c r="F85" s="29"/>
      <c r="G85" s="30">
        <f>MIN(G86:G95)</f>
        <v>0</v>
      </c>
      <c r="H85" s="31">
        <f>MAX(H86:H95)</f>
        <v>0</v>
      </c>
      <c r="I85" s="32">
        <f>SUM(I86:I95)</f>
        <v>0</v>
      </c>
      <c r="J85" s="33">
        <f>AVERAGE(J86:J95)</f>
        <v>0</v>
      </c>
      <c r="K85" s="30"/>
      <c r="L85" s="30"/>
      <c r="M85" s="34">
        <v>6</v>
      </c>
      <c r="N85" s="28" t="s">
        <v>117</v>
      </c>
      <c r="O85" s="35" t="str">
        <f t="shared" ref="O85:O95" ca="1" si="1">IF(J85=1, "完了", IF(ISBLANK(K85), "未着手", IF(AND(H85&lt;TODAY(), J85&lt;1), "遅延", "進行中")))</f>
        <v>未着手</v>
      </c>
    </row>
    <row r="86" spans="2:15" ht="21.95" customHeight="1" x14ac:dyDescent="0.15">
      <c r="B86" s="19">
        <v>6.1</v>
      </c>
      <c r="C86" s="8"/>
      <c r="D86" s="8"/>
      <c r="E86" s="8"/>
      <c r="F86" s="7"/>
      <c r="G86" s="9"/>
      <c r="H86" s="9"/>
      <c r="I86" s="10"/>
      <c r="J86" s="11">
        <v>0</v>
      </c>
      <c r="K86" s="9"/>
      <c r="L86" s="9"/>
      <c r="M86" s="7"/>
      <c r="N86" s="8"/>
      <c r="O86" s="20" t="str">
        <f t="shared" ca="1" si="1"/>
        <v>未着手</v>
      </c>
    </row>
    <row r="87" spans="2:15" ht="21.95" customHeight="1" x14ac:dyDescent="0.15">
      <c r="B87" s="19">
        <v>6.2</v>
      </c>
      <c r="C87" s="8"/>
      <c r="D87" s="8"/>
      <c r="E87" s="8"/>
      <c r="F87" s="7"/>
      <c r="G87" s="9"/>
      <c r="H87" s="9"/>
      <c r="I87" s="10"/>
      <c r="J87" s="11">
        <v>0</v>
      </c>
      <c r="K87" s="9"/>
      <c r="L87" s="9"/>
      <c r="M87" s="7"/>
      <c r="N87" s="8"/>
      <c r="O87" s="20" t="str">
        <f t="shared" ca="1" si="1"/>
        <v>未着手</v>
      </c>
    </row>
    <row r="88" spans="2:15" ht="21.95" customHeight="1" x14ac:dyDescent="0.15">
      <c r="B88" s="19">
        <v>6.3</v>
      </c>
      <c r="C88" s="8"/>
      <c r="D88" s="8"/>
      <c r="E88" s="8"/>
      <c r="F88" s="7"/>
      <c r="G88" s="9"/>
      <c r="H88" s="9"/>
      <c r="I88" s="10"/>
      <c r="J88" s="11">
        <v>0</v>
      </c>
      <c r="K88" s="9"/>
      <c r="L88" s="9"/>
      <c r="M88" s="7"/>
      <c r="N88" s="8"/>
      <c r="O88" s="20" t="str">
        <f t="shared" ca="1" si="1"/>
        <v>未着手</v>
      </c>
    </row>
    <row r="89" spans="2:15" ht="21.95" customHeight="1" x14ac:dyDescent="0.15">
      <c r="B89" s="19">
        <v>6.4</v>
      </c>
      <c r="C89" s="8"/>
      <c r="D89" s="8"/>
      <c r="E89" s="8"/>
      <c r="F89" s="7"/>
      <c r="G89" s="9"/>
      <c r="H89" s="9"/>
      <c r="I89" s="10"/>
      <c r="J89" s="11">
        <v>0</v>
      </c>
      <c r="K89" s="9"/>
      <c r="L89" s="9"/>
      <c r="M89" s="7"/>
      <c r="N89" s="8"/>
      <c r="O89" s="20" t="str">
        <f t="shared" ca="1" si="1"/>
        <v>未着手</v>
      </c>
    </row>
    <row r="90" spans="2:15" ht="21.95" customHeight="1" x14ac:dyDescent="0.15">
      <c r="B90" s="19">
        <v>6.5</v>
      </c>
      <c r="C90" s="8"/>
      <c r="D90" s="8"/>
      <c r="E90" s="8"/>
      <c r="F90" s="7"/>
      <c r="G90" s="9"/>
      <c r="H90" s="9"/>
      <c r="I90" s="10"/>
      <c r="J90" s="11">
        <v>0</v>
      </c>
      <c r="K90" s="9"/>
      <c r="L90" s="9"/>
      <c r="M90" s="7"/>
      <c r="N90" s="8"/>
      <c r="O90" s="20" t="str">
        <f t="shared" ca="1" si="1"/>
        <v>未着手</v>
      </c>
    </row>
    <row r="91" spans="2:15" ht="21.95" customHeight="1" x14ac:dyDescent="0.15">
      <c r="B91" s="19">
        <v>6.6</v>
      </c>
      <c r="C91" s="8"/>
      <c r="D91" s="8"/>
      <c r="E91" s="8"/>
      <c r="F91" s="7"/>
      <c r="G91" s="9"/>
      <c r="H91" s="9"/>
      <c r="I91" s="10"/>
      <c r="J91" s="11">
        <v>0</v>
      </c>
      <c r="K91" s="9"/>
      <c r="L91" s="9"/>
      <c r="M91" s="7"/>
      <c r="N91" s="8"/>
      <c r="O91" s="20" t="str">
        <f t="shared" ca="1" si="1"/>
        <v>未着手</v>
      </c>
    </row>
    <row r="92" spans="2:15" ht="21.95" customHeight="1" x14ac:dyDescent="0.15">
      <c r="B92" s="19">
        <v>6.7</v>
      </c>
      <c r="C92" s="8"/>
      <c r="D92" s="8"/>
      <c r="E92" s="8"/>
      <c r="F92" s="7"/>
      <c r="G92" s="9"/>
      <c r="H92" s="9"/>
      <c r="I92" s="10"/>
      <c r="J92" s="11">
        <v>0</v>
      </c>
      <c r="K92" s="9"/>
      <c r="L92" s="9"/>
      <c r="M92" s="7"/>
      <c r="N92" s="8"/>
      <c r="O92" s="20" t="str">
        <f t="shared" ca="1" si="1"/>
        <v>未着手</v>
      </c>
    </row>
    <row r="93" spans="2:15" ht="21.95" customHeight="1" x14ac:dyDescent="0.15">
      <c r="B93" s="19">
        <v>6.8</v>
      </c>
      <c r="C93" s="8"/>
      <c r="D93" s="8"/>
      <c r="E93" s="8"/>
      <c r="F93" s="7"/>
      <c r="G93" s="9"/>
      <c r="H93" s="9"/>
      <c r="I93" s="10"/>
      <c r="J93" s="11">
        <v>0</v>
      </c>
      <c r="K93" s="9"/>
      <c r="L93" s="9"/>
      <c r="M93" s="7"/>
      <c r="N93" s="8"/>
      <c r="O93" s="20" t="str">
        <f t="shared" ca="1" si="1"/>
        <v>未着手</v>
      </c>
    </row>
    <row r="94" spans="2:15" ht="21.95" customHeight="1" x14ac:dyDescent="0.15">
      <c r="B94" s="19">
        <v>6.9</v>
      </c>
      <c r="C94" s="8"/>
      <c r="D94" s="8"/>
      <c r="E94" s="8"/>
      <c r="F94" s="7"/>
      <c r="G94" s="9"/>
      <c r="H94" s="9"/>
      <c r="I94" s="10"/>
      <c r="J94" s="11">
        <v>0</v>
      </c>
      <c r="K94" s="9"/>
      <c r="L94" s="9"/>
      <c r="M94" s="7"/>
      <c r="N94" s="8"/>
      <c r="O94" s="20" t="str">
        <f t="shared" ca="1" si="1"/>
        <v>未着手</v>
      </c>
    </row>
    <row r="95" spans="2:15" ht="21.95" customHeight="1" thickBot="1" x14ac:dyDescent="0.2">
      <c r="B95" s="43">
        <v>6.1</v>
      </c>
      <c r="C95" s="21"/>
      <c r="D95" s="21"/>
      <c r="E95" s="21"/>
      <c r="F95" s="22"/>
      <c r="G95" s="23"/>
      <c r="H95" s="23"/>
      <c r="I95" s="24"/>
      <c r="J95" s="25">
        <v>0</v>
      </c>
      <c r="K95" s="23"/>
      <c r="L95" s="23"/>
      <c r="M95" s="22"/>
      <c r="N95" s="21"/>
      <c r="O95" s="26" t="str">
        <f t="shared" ca="1" si="1"/>
        <v>未着手</v>
      </c>
    </row>
  </sheetData>
  <phoneticPr fontId="1"/>
  <dataValidations count="1">
    <dataValidation type="list" allowBlank="1" sqref="J3:J95" xr:uid="{EB1B4C02-A2F8-4E56-9D1B-A8208705318C}">
      <formula1>"0%, 10%, 20%, 30%, 40%, 50%, 60%, 70%, 80%, 90%, 100%"</formula1>
    </dataValidation>
  </dataValidations>
  <pageMargins left="0.39370078740157483" right="0.39370078740157483" top="0.78740157480314965" bottom="0.39370078740157483" header="0.51181102362204722" footer="0.51181102362204722"/>
  <pageSetup paperSize="8" scale="95" orientation="landscape" horizontalDpi="0" verticalDpi="0" r:id="rId1"/>
  <headerFooter>
    <oddHeader>&amp;L&amp;A</oddHeader>
    <oddFooter>&amp;C&amp;P / &amp;N</oddFooter>
  </headerFooter>
  <rowBreaks count="2" manualBreakCount="2">
    <brk id="38" min="1" max="14" man="1"/>
    <brk id="74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(原本)2026年HICS卒研チーム_WBS</vt:lpstr>
      <vt:lpstr>(チーム更新シート)2026年HICS卒研チーム_WBS</vt:lpstr>
      <vt:lpstr>'(チーム更新シート)2026年HICS卒研チーム_WBS'!Print_Area</vt:lpstr>
      <vt:lpstr>'(原本)2026年HICS卒研チーム_WBS'!Print_Area</vt:lpstr>
      <vt:lpstr>'(チーム更新シート)2026年HICS卒研チーム_WBS'!Print_Titles</vt:lpstr>
      <vt:lpstr>'(原本)2026年HICS卒研チーム_WBS'!Print_Titles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nobe takeshi</cp:lastModifiedBy>
  <cp:lastPrinted>2026-08-27T03:28:04Z</cp:lastPrinted>
  <dcterms:created xsi:type="dcterms:W3CDTF">2026-08-27T02:18:41Z</dcterms:created>
  <dcterms:modified xsi:type="dcterms:W3CDTF">2026-08-27T03:30:55Z</dcterms:modified>
</cp:coreProperties>
</file>